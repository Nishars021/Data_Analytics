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30 DAYS DA in ENGLISH\DAY-4\"/>
    </mc:Choice>
  </mc:AlternateContent>
  <xr:revisionPtr revIDLastSave="0" documentId="13_ncr:10020001_{F1278021-3810-4267-8B00-BA911245D67E}" xr6:coauthVersionLast="47" xr6:coauthVersionMax="47" xr10:uidLastSave="{00000000-0000-0000-0000-000000000000}"/>
  <bookViews>
    <workbookView xWindow="-120" yWindow="-120" windowWidth="29040" windowHeight="15840" activeTab="8" xr2:uid="{00000000-000D-0000-FFFF-FFFF00000000}"/>
  </bookViews>
  <sheets>
    <sheet name="Sheet2" sheetId="3" r:id="rId1"/>
    <sheet name="Sheet3" sheetId="4" r:id="rId2"/>
    <sheet name="Sheet4" sheetId="5" r:id="rId3"/>
    <sheet name="Sheet5" sheetId="6" r:id="rId4"/>
    <sheet name="Sheet6" sheetId="7" r:id="rId5"/>
    <sheet name="Sheet7" sheetId="8" r:id="rId6"/>
    <sheet name="Sheet8" sheetId="9" r:id="rId7"/>
    <sheet name="D6" sheetId="2" r:id="rId8"/>
    <sheet name="Sheet1" sheetId="1" r:id="rId9"/>
    <sheet name="Sheet9" sheetId="10" r:id="rId10"/>
  </sheets>
  <definedNames>
    <definedName name="ExternalData_1" localSheetId="7"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585357-AF1E-4846-ADF8-B01ED17E6636}"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<sst xmlns="http://schemas.openxmlformats.org/spreadsheetml/2006/main" count="8069" uniqueCount="1134">
  <si>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</si>
  <si>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</si>
  <si>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</si>
  <si>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</si>
  <si>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</si>
  <si>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</si>
  <si>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</si>
  <si>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</si>
  <si>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</si>
  <si>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</si>
  <si>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</si>
  <si>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</si>
  <si>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</si>
  <si>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</si>
  <si>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</si>
  <si>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</si>
  <si>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</si>
  <si>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</si>
  <si>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</si>
  <si>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</si>
  <si>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</si>
  <si>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</si>
  <si>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</si>
  <si>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</si>
  <si>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</si>
  <si>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</si>
  <si>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</si>
  <si>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</si>
  <si>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</si>
  <si>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</si>
  <si>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</si>
  <si>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</si>
  <si>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</si>
  <si>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</si>
  <si>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</si>
  <si>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</si>
  <si>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</si>
  <si>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</si>
  <si>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</si>
  <si>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</si>
  <si>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</si>
  <si>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</si>
  <si>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</si>
  <si>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</si>
  <si>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</si>
  <si>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</si>
  <si>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</si>
  <si>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</si>
  <si>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</si>
  <si>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</si>
  <si>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</si>
  <si>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</si>
  <si>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</si>
  <si>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</si>
  <si>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</si>
  <si>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</si>
  <si>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</si>
  <si>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</si>
  <si>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</si>
  <si>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</si>
  <si>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</si>
  <si>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</si>
  <si>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</si>
  <si>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</si>
  <si>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</si>
  <si>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</si>
  <si>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</si>
  <si>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</si>
  <si>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</si>
  <si>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</si>
  <si>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</si>
  <si>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</si>
  <si>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</si>
  <si>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</si>
  <si>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</si>
  <si>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</si>
  <si>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</si>
  <si>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</si>
  <si>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</si>
  <si>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</si>
  <si>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</si>
  <si>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</si>
  <si>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</si>
  <si>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</si>
  <si>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</si>
  <si>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</si>
  <si>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</si>
  <si>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</si>
  <si>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</si>
  <si>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</si>
  <si>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</si>
  <si>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</si>
  <si>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</si>
  <si>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</si>
  <si>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</si>
  <si>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</si>
  <si>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</si>
  <si>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</si>
  <si>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</si>
  <si>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</si>
  <si>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</si>
  <si>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</si>
  <si>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</si>
  <si>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</si>
  <si>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</si>
  <si>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</si>
  <si>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</si>
  <si>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</si>
  <si>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</si>
  <si>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</si>
  <si>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</si>
  <si>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</si>
  <si>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</si>
  <si>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</si>
  <si>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</si>
  <si>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</si>
  <si>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</si>
  <si>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</si>
  <si>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</si>
  <si>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</si>
  <si>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</si>
  <si>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</si>
  <si>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</si>
  <si>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</si>
  <si>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</si>
  <si>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</si>
  <si>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</si>
  <si>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</si>
  <si>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</si>
  <si>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</si>
  <si>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</si>
  <si>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</si>
  <si>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</si>
  <si>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</si>
  <si>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</si>
  <si>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</si>
  <si>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</si>
  <si>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</si>
  <si>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</si>
  <si>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</si>
  <si>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</si>
  <si>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</si>
  <si>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</si>
  <si>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</si>
  <si>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</si>
  <si>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</si>
  <si>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</si>
  <si>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</si>
  <si>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</si>
  <si>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</si>
  <si>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</si>
  <si>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</si>
  <si>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</si>
  <si>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</si>
  <si>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</si>
  <si>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</si>
  <si>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</si>
  <si>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</si>
  <si>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</si>
  <si>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</si>
  <si>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</si>
  <si>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</si>
  <si>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</si>
  <si>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</si>
  <si>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</si>
  <si>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</si>
  <si>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</si>
  <si>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</si>
  <si>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</si>
  <si>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</si>
  <si>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</si>
  <si>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</si>
  <si>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</si>
  <si>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</si>
  <si>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</si>
  <si>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</si>
  <si>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</si>
  <si>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</si>
  <si>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</si>
  <si>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</si>
  <si>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</si>
  <si>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</si>
  <si>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</si>
  <si>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</si>
  <si>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</si>
  <si>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</si>
  <si>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</si>
  <si>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</si>
  <si>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</si>
  <si>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</si>
  <si>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</si>
  <si>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</si>
  <si>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</si>
  <si>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</si>
  <si>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</si>
  <si>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</si>
  <si>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</si>
  <si>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</si>
  <si>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</si>
  <si>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</si>
  <si>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</si>
  <si>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</si>
  <si>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</si>
  <si>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</si>
  <si>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</si>
  <si>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</si>
  <si>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</si>
  <si>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</si>
  <si>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</si>
  <si>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</si>
  <si>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</si>
  <si>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</si>
  <si>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</si>
  <si>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</si>
  <si>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</si>
  <si>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</si>
  <si>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</si>
  <si>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</si>
  <si>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</si>
  <si>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</si>
  <si>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</si>
  <si>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</si>
  <si>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</si>
  <si>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</si>
  <si>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</si>
  <si>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</si>
  <si>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</si>
  <si>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</si>
  <si>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</si>
  <si>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</si>
  <si>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</si>
  <si>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</si>
  <si>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</si>
  <si>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</si>
  <si>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</si>
  <si>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</si>
  <si>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</si>
  <si>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</si>
  <si>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</si>
  <si>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</si>
  <si>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</si>
  <si>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</si>
  <si>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</si>
  <si>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</si>
  <si>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</si>
  <si>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</si>
  <si>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</si>
  <si>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</si>
  <si>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</si>
  <si>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</si>
  <si>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</si>
  <si>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</si>
  <si>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</si>
  <si>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</si>
  <si>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</si>
  <si>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</si>
  <si>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</si>
  <si>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</si>
  <si>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</si>
  <si>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</si>
  <si>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</si>
  <si>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</si>
  <si>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</si>
  <si>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</si>
  <si>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</si>
  <si>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</si>
  <si>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</si>
  <si>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</si>
  <si>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</si>
  <si>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</si>
  <si>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</si>
  <si>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</si>
  <si>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</si>
  <si>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</si>
  <si>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</si>
  <si>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</si>
  <si>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</si>
  <si>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</si>
  <si>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</si>
  <si>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</si>
  <si>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</si>
  <si>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</si>
  <si>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</si>
  <si>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</si>
  <si>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</si>
  <si>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</si>
  <si>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</si>
  <si>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</si>
  <si>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</si>
  <si>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</si>
  <si>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</si>
  <si>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</si>
  <si>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</si>
  <si>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</si>
  <si>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</si>
  <si>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</si>
  <si>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</si>
  <si>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</si>
  <si>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</si>
  <si>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</si>
  <si>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</si>
  <si>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</si>
  <si>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</si>
  <si>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</si>
  <si>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</si>
  <si>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</si>
  <si>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</si>
  <si>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</si>
  <si>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</si>
  <si>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</si>
  <si>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</si>
  <si>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</si>
  <si>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</si>
  <si>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</si>
  <si>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</si>
  <si>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</si>
  <si>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</si>
  <si>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</si>
  <si>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</si>
  <si>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</si>
  <si>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</si>
  <si>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</si>
  <si>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</si>
  <si>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</si>
  <si>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</si>
  <si>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</si>
  <si>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</si>
  <si>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</si>
  <si>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</si>
  <si>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</si>
  <si>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</si>
  <si>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</si>
  <si>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</si>
  <si>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</si>
  <si>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</si>
  <si>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</si>
  <si>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</si>
  <si>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</si>
  <si>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</si>
  <si>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</si>
  <si>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</si>
  <si>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</si>
  <si>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</si>
  <si>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</si>
  <si>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</si>
  <si>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</si>
  <si>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</si>
  <si>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</si>
  <si>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</si>
  <si>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</si>
  <si>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</si>
  <si>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</si>
  <si>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</si>
  <si>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</si>
  <si>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</si>
  <si>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</si>
  <si>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</si>
  <si>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</si>
  <si>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</si>
  <si>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</si>
  <si>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</si>
  <si>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</si>
  <si>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</si>
  <si>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</si>
  <si>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</si>
  <si>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</si>
  <si>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</si>
  <si>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</si>
  <si>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</si>
  <si>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</si>
  <si>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</si>
  <si>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</si>
  <si>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</si>
  <si>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</si>
  <si>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</si>
  <si>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</si>
  <si>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</si>
  <si>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</si>
  <si>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</si>
  <si>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</si>
  <si>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</si>
  <si>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</si>
  <si>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</si>
  <si>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</si>
  <si>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</si>
  <si>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</si>
  <si>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</si>
  <si>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</si>
  <si>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</si>
  <si>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</si>
  <si>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</si>
  <si>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</si>
  <si>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</si>
  <si>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</si>
  <si>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</si>
  <si>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</si>
  <si>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</si>
  <si>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</si>
  <si>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</si>
  <si>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</si>
  <si>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</si>
  <si>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</si>
  <si>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</si>
  <si>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</si>
  <si>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</si>
  <si>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</si>
  <si>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</si>
  <si>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</si>
  <si>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</si>
  <si>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</si>
  <si>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</si>
  <si>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</si>
  <si>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</si>
  <si>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</si>
  <si>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</si>
  <si>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</si>
  <si>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</si>
  <si>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</si>
  <si>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</si>
  <si>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</si>
  <si>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</si>
  <si>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</si>
  <si>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</si>
  <si>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</si>
  <si>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</si>
  <si>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</si>
  <si>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</si>
  <si>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</si>
  <si>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</si>
  <si>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</si>
  <si>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</si>
  <si>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</si>
  <si>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</si>
  <si>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</si>
  <si>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</si>
  <si>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</si>
  <si>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</si>
  <si>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</si>
  <si>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</si>
  <si>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</si>
  <si>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</si>
  <si>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</si>
  <si>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</si>
  <si>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</si>
  <si>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</si>
  <si>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</si>
  <si>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</si>
  <si>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</si>
  <si>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</si>
  <si>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</si>
  <si>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</si>
  <si>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</si>
  <si>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</si>
  <si>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</si>
  <si>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</si>
  <si>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</si>
  <si>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</si>
  <si>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</si>
  <si>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</si>
  <si>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</si>
  <si>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</si>
  <si>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</si>
  <si>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</si>
  <si>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</si>
  <si>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</si>
  <si>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</si>
  <si>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</si>
  <si>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</si>
  <si>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</si>
  <si>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</si>
  <si>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</si>
  <si>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</si>
  <si>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</si>
  <si>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</si>
  <si>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</si>
  <si>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</si>
  <si>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</si>
  <si>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</si>
  <si>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</si>
  <si>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</si>
  <si>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</si>
  <si>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</si>
  <si>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</si>
  <si>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</si>
  <si>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</si>
  <si>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</si>
  <si>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</si>
  <si>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</si>
  <si>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</si>
  <si>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</si>
  <si>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</si>
  <si>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</si>
  <si>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</si>
  <si>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</si>
  <si>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</si>
  <si>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</si>
  <si>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</si>
  <si>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</si>
  <si>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</si>
  <si>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</si>
  <si>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</si>
  <si>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</si>
  <si>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</si>
  <si>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</si>
  <si>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</si>
  <si>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</si>
  <si>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</si>
  <si>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</si>
  <si>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</si>
  <si>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</si>
  <si>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</si>
  <si>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</si>
  <si>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</si>
  <si>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</si>
  <si>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</si>
  <si>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</si>
  <si>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</si>
  <si>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</si>
  <si>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</si>
  <si>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</si>
  <si>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</si>
  <si>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</si>
  <si>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</si>
  <si>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</si>
  <si>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</si>
  <si>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</si>
  <si>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</si>
  <si>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</si>
  <si>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</si>
  <si>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</si>
  <si>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</si>
  <si>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</si>
  <si>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</si>
  <si>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</si>
  <si>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</si>
  <si>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</si>
  <si>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</si>
  <si>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</si>
  <si>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</si>
  <si>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</si>
  <si>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</si>
  <si>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</si>
  <si>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</si>
  <si>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</si>
  <si>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</si>
  <si>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</si>
  <si>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</si>
  <si>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</si>
  <si>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</si>
  <si>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</si>
  <si>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</si>
  <si>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</si>
  <si>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</si>
  <si>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</si>
  <si>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</si>
  <si>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</si>
  <si>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</si>
  <si>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</si>
  <si>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</si>
  <si>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</si>
  <si>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</si>
  <si>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</si>
  <si>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</si>
  <si>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</si>
  <si>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</si>
  <si>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</si>
  <si>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</si>
  <si>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</si>
  <si>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</si>
  <si>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</si>
  <si>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</si>
  <si>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</si>
  <si>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</si>
  <si>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</si>
  <si>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</si>
  <si>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</si>
  <si>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</si>
  <si>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</si>
  <si>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</si>
  <si>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</si>
  <si>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</si>
  <si>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</si>
  <si>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</si>
  <si>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</si>
  <si>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</si>
  <si>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</si>
  <si>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</si>
  <si>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</si>
  <si>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</si>
  <si>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</si>
  <si>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</si>
  <si>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</si>
  <si>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</si>
  <si>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</si>
  <si>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</si>
  <si>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</si>
  <si>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</si>
  <si>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</si>
  <si>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</si>
  <si>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</si>
  <si>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</si>
  <si>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</si>
  <si>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</si>
  <si>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</si>
  <si>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</si>
  <si>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</si>
  <si>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</si>
  <si>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</si>
  <si>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</si>
  <si>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</si>
  <si>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</si>
  <si>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</si>
  <si>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</si>
  <si>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</si>
  <si>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</si>
  <si>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</si>
  <si>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</si>
  <si>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</si>
  <si>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</si>
  <si>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</si>
  <si>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</si>
  <si>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</si>
  <si>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</si>
  <si>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</si>
  <si>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</si>
  <si>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</si>
  <si>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</si>
  <si>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</si>
  <si>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</si>
  <si>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</si>
  <si>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</si>
  <si>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</si>
  <si>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</si>
  <si>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</si>
  <si>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</si>
  <si>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</si>
  <si>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</si>
  <si>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</si>
  <si>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</si>
  <si>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</si>
  <si>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</si>
  <si>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</si>
  <si>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</si>
  <si>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</si>
  <si>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</si>
  <si>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</si>
  <si>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</si>
  <si>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</si>
  <si>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</si>
  <si>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</si>
  <si>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</si>
  <si>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</si>
  <si>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</si>
  <si>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</si>
  <si>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</si>
  <si>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</si>
  <si>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</si>
  <si>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</si>
  <si>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</si>
  <si>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</si>
  <si>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</si>
  <si>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</si>
  <si>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</si>
  <si>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</si>
  <si>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</si>
  <si>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</si>
  <si>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</si>
  <si>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</si>
  <si>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</si>
  <si>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</si>
  <si>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</si>
  <si>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</si>
  <si>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</si>
  <si>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</si>
  <si>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</si>
  <si>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</si>
  <si>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</si>
  <si>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</si>
  <si>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</si>
  <si>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</si>
  <si>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</si>
  <si>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</si>
  <si>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</si>
  <si>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</si>
  <si>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</si>
  <si>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</si>
  <si>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</si>
  <si>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</si>
  <si>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</si>
  <si>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</si>
  <si>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</si>
  <si>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</si>
  <si>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</si>
  <si>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</si>
  <si>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</si>
  <si>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</si>
  <si>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</si>
  <si>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</si>
  <si>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</si>
  <si>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</si>
  <si>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</si>
  <si>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</si>
  <si>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</si>
  <si>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</si>
  <si>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</si>
  <si>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</si>
  <si>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</si>
  <si>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</si>
  <si>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</si>
  <si>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</si>
  <si>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</si>
  <si>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</si>
  <si>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</si>
  <si>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</si>
  <si>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</si>
  <si>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</si>
  <si>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</si>
  <si>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</si>
  <si>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</si>
  <si>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</si>
  <si>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</si>
  <si>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</si>
  <si>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</si>
  <si>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</si>
  <si>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</si>
  <si>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</si>
  <si>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</si>
  <si>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</si>
  <si>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</si>
  <si>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</si>
  <si>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</si>
  <si>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</si>
  <si>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</si>
  <si>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</si>
  <si>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</si>
  <si>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</si>
  <si>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</si>
  <si>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</si>
  <si>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</si>
  <si>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</si>
  <si>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</si>
  <si>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</si>
  <si>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</si>
  <si>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</si>
  <si>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</si>
  <si>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</si>
  <si>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</si>
  <si>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</si>
  <si>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</si>
  <si>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</si>
  <si>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</si>
  <si>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</si>
  <si>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</si>
  <si>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</si>
  <si>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</si>
  <si>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</si>
  <si>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</si>
  <si>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</si>
  <si>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</si>
  <si>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</si>
  <si>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</si>
  <si>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</si>
  <si>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</si>
  <si>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</si>
  <si>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</si>
  <si>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</si>
  <si>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</si>
  <si>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</si>
  <si>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</si>
  <si>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</si>
  <si>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</si>
  <si>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</si>
  <si>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</si>
  <si>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</si>
  <si>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</si>
  <si>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</si>
  <si>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</si>
  <si>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</si>
  <si>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</si>
  <si>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</si>
  <si>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</si>
  <si>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</si>
  <si>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</si>
  <si>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</si>
  <si>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</si>
  <si>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</si>
  <si>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</si>
  <si>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</si>
  <si>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</si>
  <si>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</si>
  <si>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</si>
  <si>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</si>
  <si>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</si>
  <si>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</si>
  <si>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</si>
  <si>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</si>
  <si>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</si>
  <si>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</si>
  <si>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</si>
  <si>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</si>
  <si>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</si>
  <si>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</si>
  <si>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</si>
  <si>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</si>
  <si>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</si>
  <si>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</si>
  <si>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</si>
  <si>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</si>
  <si>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</si>
  <si>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</si>
  <si>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</si>
  <si>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</si>
  <si>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</si>
  <si>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</si>
  <si>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</si>
  <si>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</si>
  <si>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</si>
  <si>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</si>
  <si>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</si>
  <si>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</si>
  <si>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</si>
  <si>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</si>
  <si>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</si>
  <si>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</si>
  <si>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</si>
  <si>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</si>
  <si>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</si>
  <si>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</si>
  <si>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</si>
  <si>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</si>
  <si>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</si>
  <si>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</si>
  <si>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</si>
  <si>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</si>
  <si>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</si>
  <si>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</si>
  <si>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</si>
  <si>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</si>
  <si>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</si>
  <si>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</si>
  <si>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</si>
  <si>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</si>
  <si>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</si>
  <si>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</si>
  <si>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</si>
  <si>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</si>
  <si>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</si>
  <si>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</si>
  <si>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</si>
  <si>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</si>
  <si>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</si>
  <si>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</si>
  <si>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</si>
  <si>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</si>
  <si>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</si>
  <si>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</si>
  <si>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</si>
  <si>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</si>
  <si>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</si>
  <si>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</si>
  <si>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</si>
  <si>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</si>
  <si>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</si>
  <si>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</si>
  <si>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</si>
  <si>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</si>
  <si>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</si>
  <si>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</si>
  <si>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</si>
  <si>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</si>
  <si>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</si>
  <si>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</si>
  <si>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</si>
  <si>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</si>
  <si>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</si>
  <si>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</si>
  <si>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</si>
  <si>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</si>
  <si>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</si>
  <si>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</si>
  <si>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</si>
  <si>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</si>
  <si>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</si>
  <si>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</si>
  <si>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</si>
  <si>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</si>
  <si>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</si>
  <si>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</si>
  <si>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</si>
  <si>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</si>
  <si>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</si>
  <si>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</si>
  <si>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</si>
  <si>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</si>
  <si>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</si>
  <si>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</si>
  <si>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</si>
  <si>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</si>
  <si>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</si>
  <si>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</si>
  <si>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</si>
  <si>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</si>
  <si>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</si>
  <si>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</si>
  <si>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</si>
  <si>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</si>
  <si>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</si>
  <si>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</si>
  <si>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</si>
  <si>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</si>
  <si>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</si>
  <si>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</si>
  <si>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</si>
  <si>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</si>
  <si>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</si>
  <si>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</si>
  <si>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</si>
  <si>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</si>
  <si>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</si>
  <si>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</si>
  <si>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</si>
  <si>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</si>
  <si>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</si>
  <si>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</si>
  <si>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</si>
  <si>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</si>
  <si>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</si>
  <si>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</si>
  <si>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</si>
  <si>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</si>
  <si>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</si>
  <si>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</si>
  <si>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</si>
  <si>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</si>
  <si>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</si>
  <si>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</si>
  <si>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</si>
  <si>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</si>
  <si>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</si>
  <si>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</si>
  <si>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</si>
  <si>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</si>
  <si>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</si>
  <si>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</si>
  <si>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</si>
  <si>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</si>
  <si>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</si>
  <si>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</si>
  <si>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</si>
  <si>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</si>
  <si>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</si>
  <si>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</si>
  <si>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</si>
  <si>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</si>
  <si>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</si>
  <si>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</si>
  <si>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</si>
  <si>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</si>
  <si>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</si>
  <si>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</si>
  <si>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</si>
  <si>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</si>
  <si>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</si>
  <si>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</si>
  <si>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</si>
  <si>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</si>
  <si>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</si>
  <si>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</si>
  <si>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</si>
  <si>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</si>
  <si>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</si>
  <si>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</si>
  <si>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</si>
  <si>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</si>
  <si>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</si>
  <si>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</si>
  <si>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</si>
  <si>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</si>
  <si>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</si>
  <si>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</si>
  <si>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</si>
  <si>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</si>
  <si>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</si>
  <si>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</si>
  <si>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</si>
  <si>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</si>
  <si>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</si>
  <si>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</si>
  <si>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</si>
  <si>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</si>
  <si>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</si>
  <si>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</si>
  <si>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</si>
  <si>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</si>
  <si>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</si>
  <si>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</si>
  <si>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</si>
  <si>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</si>
  <si>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</si>
  <si>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</si>
  <si>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</si>
  <si>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</si>
  <si>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</si>
  <si>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</si>
  <si>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</si>
  <si>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</si>
  <si>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</si>
  <si>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</si>
  <si>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</si>
  <si>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</si>
  <si>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</si>
  <si>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</si>
  <si>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</si>
  <si>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</si>
  <si>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</si>
  <si>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</si>
  <si>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</si>
  <si>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</si>
  <si>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</si>
  <si>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</si>
  <si>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</si>
  <si>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</si>
  <si>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</si>
  <si>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</si>
  <si>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</si>
  <si>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</si>
  <si>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</si>
  <si>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</si>
  <si>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</si>
  <si>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</si>
  <si>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</si>
  <si>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</si>
  <si>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</si>
  <si>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</si>
  <si>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</si>
  <si>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</si>
  <si>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</si>
  <si>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</si>
  <si>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</si>
  <si>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</si>
  <si>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</si>
  <si>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</si>
  <si>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</si>
  <si>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</si>
  <si>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</si>
  <si>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</si>
  <si>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</si>
  <si>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</si>
  <si>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</si>
  <si>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</si>
  <si>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</si>
  <si>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</si>
  <si>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</si>
  <si>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</si>
  <si>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</si>
  <si>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</si>
  <si>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</si>
  <si>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</si>
  <si>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</si>
  <si>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</si>
  <si>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</si>
  <si>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</si>
  <si>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</si>
  <si>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</si>
  <si>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</si>
  <si>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</si>
  <si>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</si>
  <si>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</si>
  <si>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</si>
  <si>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</si>
  <si>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</si>
  <si>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</si>
  <si>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</si>
  <si>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</si>
  <si>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</si>
  <si>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</si>
  <si>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</si>
  <si>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</si>
  <si>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</si>
  <si>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</si>
  <si>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</si>
  <si>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</si>
  <si>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</si>
  <si>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</si>
  <si>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</si>
  <si>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</si>
  <si>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</si>
  <si>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</si>
  <si>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</si>
  <si>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</si>
  <si>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</si>
  <si>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</si>
  <si>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</si>
  <si>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</si>
  <si>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</si>
  <si>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</si>
  <si>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</si>
  <si>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</si>
  <si>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</si>
  <si>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</si>
  <si>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</si>
  <si>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</si>
  <si>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</si>
  <si>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</si>
  <si>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</si>
  <si>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</si>
  <si>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</si>
  <si>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</si>
  <si>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</si>
  <si>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</si>
  <si>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</si>
  <si>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</si>
  <si>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</si>
  <si>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</si>
  <si>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</si>
  <si>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</si>
  <si>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</si>
  <si>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</si>
  <si>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</si>
  <si>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</si>
  <si>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</si>
  <si>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</si>
  <si>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</si>
  <si>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</si>
  <si>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</si>
  <si>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</si>
  <si>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</si>
  <si>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</si>
  <si>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</si>
  <si>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</si>
  <si>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</si>
  <si>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Count of City</t>
  </si>
  <si>
    <t>Sum of Quantity</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</si>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</sst>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quot;₹&quot;\ * #,##0_ ;_ &quot;₹&quot;\ * \-#,##0_ ;_ &quot;₹&quot;\ * &quot;-&quot;??_ ;_ @_ "/>
    <numFmt numFmtId="166" formatCode="_ [$₹-4009]\ * #,##0_ ;_ [$₹-4009]\ * \-#,##0_ ;_ [$₹-4009]\ * &quot;-&quot;??_ ;_ @_ "/>
  </numFmts>
  <fonts count="2" x14ac:knownFonts="1">
    <font>
      <sz val="11"/>
      <color theme="1"/>
      <name val="Calibri"/>
      <family val="2"/>
      <scheme val="minor"/>
    </font>
    <font>
      <b/>
      <sz val="26"/>
      <color theme="1"/>
      <name val="Cambria"/>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0" fontId="0" fillId="2" borderId="0" xfId="0" applyFill="1"/>
    <xf numFmtId="0" fontId="1" fillId="2" borderId="0" xfId="0" applyFont="1" applyFill="1"/>
  </cellXfs>
  <cellStyles count="1">
    <cellStyle name="Normal" xfId="0" builtinId="0"/>
  </cellStyles>
  <dxfs count="72">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59E6-400C-847A-09406B6CCA13}"/>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59E6-400C-847A-09406B6CCA13}"/>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59E6-400C-847A-09406B6CCA13}"/>
            </c:ext>
          </c:extLst>
        </c:ser>
        <c:dLbls>
          <c:dLblPos val="inEnd"/>
          <c:showLegendKey val="0"/>
          <c:showVal val="1"/>
          <c:showCatName val="0"/>
          <c:showSerName val="0"/>
          <c:showPercent val="0"/>
          <c:showBubbleSize val="0"/>
        </c:dLbls>
        <c:gapWidth val="100"/>
        <c:overlap val="-24"/>
        <c:axId val="2103516592"/>
        <c:axId val="2103510352"/>
      </c:barChart>
      <c:catAx>
        <c:axId val="21035165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510352"/>
        <c:crosses val="autoZero"/>
        <c:auto val="1"/>
        <c:lblAlgn val="ctr"/>
        <c:lblOffset val="100"/>
        <c:noMultiLvlLbl val="0"/>
      </c:catAx>
      <c:valAx>
        <c:axId val="2103510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51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Sum of Total</c:v>
                </c:pt>
              </c:strCache>
            </c:strRef>
          </c:tx>
          <c:explosion val="1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64-401D-AAE1-10CDFBDF59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64-401D-AAE1-10CDFBDF59C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64-401D-AAE1-10CDFBDF59C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64-401D-AAE1-10CDFBDF59C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64-401D-AAE1-10CDFBDF59C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464-401D-AAE1-10CDFBDF59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Sheet3!$B$4:$B$10</c:f>
              <c:numCache>
                <c:formatCode>_ "₹"\ * #,##0_ ;_ "₹"\ * \-#,##0_ ;_ "₹"\ * "-"??_ ;_ @_ </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4942-4540-81CA-F5C4B4718251}"/>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464-401D-AAE1-10CDFBDF59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464-401D-AAE1-10CDFBDF59C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464-401D-AAE1-10CDFBDF59C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464-401D-AAE1-10CDFBDF59C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464-401D-AAE1-10CDFBDF59C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464-401D-AAE1-10CDFBDF59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Sheet3!$C$4:$C$10</c:f>
              <c:numCache>
                <c:formatCode>_ "₹"\ * #,##0_ ;_ "₹"\ * \-#,##0_ ;_ "₹"\ * "-"??_ ;_ @_ </c:formatCode>
                <c:ptCount val="6"/>
                <c:pt idx="0">
                  <c:v>2342.5589999999993</c:v>
                </c:pt>
                <c:pt idx="1">
                  <c:v>2564.8530000000019</c:v>
                </c:pt>
                <c:pt idx="2">
                  <c:v>2585.9949999999999</c:v>
                </c:pt>
                <c:pt idx="3">
                  <c:v>2587.5015000000017</c:v>
                </c:pt>
                <c:pt idx="4">
                  <c:v>2624.8964999999994</c:v>
                </c:pt>
                <c:pt idx="5">
                  <c:v>2673.5639999999994</c:v>
                </c:pt>
              </c:numCache>
            </c:numRef>
          </c:val>
          <c:extLst>
            <c:ext xmlns:c16="http://schemas.microsoft.com/office/drawing/2014/chart" uri="{C3380CC4-5D6E-409C-BE32-E72D297353CC}">
              <c16:uniqueId val="{00000001-4942-4540-81CA-F5C4B4718251}"/>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464-401D-AAE1-10CDFBDF59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464-401D-AAE1-10CDFBDF59C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464-401D-AAE1-10CDFBDF59C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464-401D-AAE1-10CDFBDF59C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464-401D-AAE1-10CDFBDF59C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B464-401D-AAE1-10CDFBDF59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Sheet3!$D$4:$D$10</c:f>
              <c:numCache>
                <c:formatCode>_ "₹"\ * #,##0_ ;_ "₹"\ * \-#,##0_ ;_ "₹"\ * "-"??_ ;_ @_ </c:formatCode>
                <c:ptCount val="6"/>
                <c:pt idx="0">
                  <c:v>8337.880000000001</c:v>
                </c:pt>
                <c:pt idx="1">
                  <c:v>8850.7099999999955</c:v>
                </c:pt>
                <c:pt idx="2">
                  <c:v>10173.349999999997</c:v>
                </c:pt>
                <c:pt idx="3">
                  <c:v>9103.7700000000059</c:v>
                </c:pt>
                <c:pt idx="4">
                  <c:v>9460.8799999999956</c:v>
                </c:pt>
                <c:pt idx="5">
                  <c:v>9745.5400000000063</c:v>
                </c:pt>
              </c:numCache>
            </c:numRef>
          </c:val>
          <c:extLst>
            <c:ext xmlns:c16="http://schemas.microsoft.com/office/drawing/2014/chart" uri="{C3380CC4-5D6E-409C-BE32-E72D297353CC}">
              <c16:uniqueId val="{00000002-4942-4540-81CA-F5C4B471825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(Repaired).xlsx]Sheet4!PivotTable3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3"/>
                <c:pt idx="0">
                  <c:v>Mandalay</c:v>
                </c:pt>
                <c:pt idx="1">
                  <c:v>Naypyitaw</c:v>
                </c:pt>
                <c:pt idx="2">
                  <c:v>Yangon</c:v>
                </c:pt>
              </c:strCache>
            </c:strRef>
          </c:cat>
          <c:val>
            <c:numRef>
              <c:f>Sheet4!$B$4:$B$7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A8C9-4C6F-BEDD-7317181D7708}"/>
            </c:ext>
          </c:extLst>
        </c:ser>
        <c:ser>
          <c:idx val="1"/>
          <c:order val="1"/>
          <c:tx>
            <c:strRef>
              <c:f>Sheet4!$C$3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3"/>
                <c:pt idx="0">
                  <c:v>Mandalay</c:v>
                </c:pt>
                <c:pt idx="1">
                  <c:v>Naypyitaw</c:v>
                </c:pt>
                <c:pt idx="2">
                  <c:v>Yangon</c:v>
                </c:pt>
              </c:strCache>
            </c:strRef>
          </c:cat>
          <c:val>
            <c:numRef>
              <c:f>Sheet4!$C$4:$C$7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A8C9-4C6F-BEDD-7317181D7708}"/>
            </c:ext>
          </c:extLst>
        </c:ser>
        <c:dLbls>
          <c:showLegendKey val="0"/>
          <c:showVal val="0"/>
          <c:showCatName val="0"/>
          <c:showSerName val="0"/>
          <c:showPercent val="0"/>
          <c:showBubbleSize val="0"/>
        </c:dLbls>
        <c:gapWidth val="150"/>
        <c:overlap val="100"/>
        <c:axId val="2108932608"/>
        <c:axId val="2108937408"/>
      </c:barChart>
      <c:catAx>
        <c:axId val="2108932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937408"/>
        <c:crosses val="autoZero"/>
        <c:auto val="1"/>
        <c:lblAlgn val="ctr"/>
        <c:lblOffset val="100"/>
        <c:noMultiLvlLbl val="0"/>
      </c:catAx>
      <c:valAx>
        <c:axId val="2108937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9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(Repaired).xlsx]Sheet5!PivotTable4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795-4DCA-B344-508930ACAF4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795-4DCA-B344-508930ACAF4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795-4DCA-B344-508930ACAF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9E52-4E67-A7E0-98B0A0D471AD}"/>
            </c:ext>
          </c:extLst>
        </c:ser>
        <c:ser>
          <c:idx val="1"/>
          <c:order val="1"/>
          <c:tx>
            <c:strRef>
              <c:f>Sheet5!$C$3</c:f>
              <c:strCache>
                <c:ptCount val="1"/>
                <c:pt idx="0">
                  <c:v>Count of City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795-4DCA-B344-508930ACAF4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795-4DCA-B344-508930ACAF4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795-4DCA-B344-508930ACAF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Sheet5!$C$4:$C$7</c:f>
              <c:numCache>
                <c:formatCode>General</c:formatCode>
                <c:ptCount val="3"/>
                <c:pt idx="0">
                  <c:v>332</c:v>
                </c:pt>
                <c:pt idx="1">
                  <c:v>328</c:v>
                </c:pt>
                <c:pt idx="2">
                  <c:v>340</c:v>
                </c:pt>
              </c:numCache>
            </c:numRef>
          </c:val>
          <c:extLst>
            <c:ext xmlns:c16="http://schemas.microsoft.com/office/drawing/2014/chart" uri="{C3380CC4-5D6E-409C-BE32-E72D297353CC}">
              <c16:uniqueId val="{00000001-9E52-4E67-A7E0-98B0A0D471A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(Repaired).xlsx]Sheet6!PivotTable5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Sheet6!$B$4:$B$10</c:f>
              <c:numCache>
                <c:formatCode>_ [$₹-4009]\ * #,##0_ ;_ [$₹-4009]\ * \-#,##0_ ;_ [$₹-4009]\ * "-"??_ ;_ @_ </c:formatCode>
                <c:ptCount val="6"/>
                <c:pt idx="0">
                  <c:v>49193.739000000016</c:v>
                </c:pt>
                <c:pt idx="1">
                  <c:v>53861.913000000008</c:v>
                </c:pt>
                <c:pt idx="2">
                  <c:v>54305.894999999997</c:v>
                </c:pt>
                <c:pt idx="3">
                  <c:v>54337.531500000005</c:v>
                </c:pt>
                <c:pt idx="4">
                  <c:v>55122.826499999996</c:v>
                </c:pt>
                <c:pt idx="5">
                  <c:v>56144.844000000005</c:v>
                </c:pt>
              </c:numCache>
            </c:numRef>
          </c:val>
          <c:smooth val="0"/>
          <c:extLst>
            <c:ext xmlns:c16="http://schemas.microsoft.com/office/drawing/2014/chart" uri="{C3380CC4-5D6E-409C-BE32-E72D297353CC}">
              <c16:uniqueId val="{00000000-6FDB-447F-A149-52F081F9CC60}"/>
            </c:ext>
          </c:extLst>
        </c:ser>
        <c:dLbls>
          <c:showLegendKey val="0"/>
          <c:showVal val="0"/>
          <c:showCatName val="0"/>
          <c:showSerName val="0"/>
          <c:showPercent val="0"/>
          <c:showBubbleSize val="0"/>
        </c:dLbls>
        <c:marker val="1"/>
        <c:smooth val="0"/>
        <c:axId val="2125333072"/>
        <c:axId val="2125332592"/>
      </c:lineChart>
      <c:catAx>
        <c:axId val="2125333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5332592"/>
        <c:crosses val="autoZero"/>
        <c:auto val="1"/>
        <c:lblAlgn val="ctr"/>
        <c:lblOffset val="100"/>
        <c:noMultiLvlLbl val="0"/>
      </c:catAx>
      <c:valAx>
        <c:axId val="2125332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533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(Repaired).xlsx]Sheet7!PivotTable6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Sheet7!$A$4:$A$6</c:f>
              <c:strCache>
                <c:ptCount val="2"/>
                <c:pt idx="0">
                  <c:v>Member</c:v>
                </c:pt>
                <c:pt idx="1">
                  <c:v>Normal</c:v>
                </c:pt>
              </c:strCache>
            </c:strRef>
          </c:cat>
          <c:val>
            <c:numRef>
              <c:f>Sheet7!$B$4:$B$6</c:f>
              <c:numCache>
                <c:formatCode>_ "₹"\ * #,##0_ ;_ "₹"\ * \-#,##0_ ;_ "₹"\ * "-"??_ ;_ @_ </c:formatCode>
                <c:ptCount val="2"/>
                <c:pt idx="0">
                  <c:v>164223.44400000002</c:v>
                </c:pt>
                <c:pt idx="1">
                  <c:v>158743.30500000005</c:v>
                </c:pt>
              </c:numCache>
            </c:numRef>
          </c:val>
          <c:extLst>
            <c:ext xmlns:c16="http://schemas.microsoft.com/office/drawing/2014/chart" uri="{C3380CC4-5D6E-409C-BE32-E72D297353CC}">
              <c16:uniqueId val="{00000000-40E3-4405-92C1-88859E4646CB}"/>
            </c:ext>
          </c:extLst>
        </c:ser>
        <c:dLbls>
          <c:showLegendKey val="0"/>
          <c:showVal val="1"/>
          <c:showCatName val="0"/>
          <c:showSerName val="0"/>
          <c:showPercent val="0"/>
          <c:showBubbleSize val="0"/>
        </c:dLbls>
        <c:gapWidth val="150"/>
        <c:shape val="box"/>
        <c:axId val="2137143456"/>
        <c:axId val="2137142496"/>
        <c:axId val="0"/>
      </c:bar3DChart>
      <c:catAx>
        <c:axId val="2137143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42496"/>
        <c:crosses val="autoZero"/>
        <c:auto val="1"/>
        <c:lblAlgn val="ctr"/>
        <c:lblOffset val="100"/>
        <c:noMultiLvlLbl val="0"/>
      </c:catAx>
      <c:valAx>
        <c:axId val="2137142496"/>
        <c:scaling>
          <c:orientation val="minMax"/>
        </c:scaling>
        <c:delete val="0"/>
        <c:axPos val="l"/>
        <c:majorGridlines>
          <c:spPr>
            <a:ln>
              <a:solidFill>
                <a:schemeClr val="tx1">
                  <a:lumMod val="15000"/>
                  <a:lumOff val="85000"/>
                </a:schemeClr>
              </a:solidFill>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4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(Repaired).xlsx]Sheet2!PivotTable1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vs Tax vs Unit Price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A</c:v>
                </c:pt>
                <c:pt idx="1">
                  <c:v>B</c:v>
                </c:pt>
                <c:pt idx="2">
                  <c:v>C</c:v>
                </c:pt>
              </c:strCache>
            </c:strRef>
          </c:cat>
          <c:val>
            <c:numRef>
              <c:f>Sheet2!$B$4:$B$7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30E6-48F9-8E1C-3860B51DB6CF}"/>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A</c:v>
                </c:pt>
                <c:pt idx="1">
                  <c:v>B</c:v>
                </c:pt>
                <c:pt idx="2">
                  <c:v>C</c:v>
                </c:pt>
              </c:strCache>
            </c:strRef>
          </c:cat>
          <c:val>
            <c:numRef>
              <c:f>Sheet2!$C$4:$C$7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30E6-48F9-8E1C-3860B51DB6CF}"/>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A</c:v>
                </c:pt>
                <c:pt idx="1">
                  <c:v>B</c:v>
                </c:pt>
                <c:pt idx="2">
                  <c:v>C</c:v>
                </c:pt>
              </c:strCache>
            </c:strRef>
          </c:cat>
          <c:val>
            <c:numRef>
              <c:f>Sheet2!$D$4:$D$7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30E6-48F9-8E1C-3860B51DB6CF}"/>
            </c:ext>
          </c:extLst>
        </c:ser>
        <c:dLbls>
          <c:showLegendKey val="0"/>
          <c:showVal val="0"/>
          <c:showCatName val="0"/>
          <c:showSerName val="0"/>
          <c:showPercent val="0"/>
          <c:showBubbleSize val="0"/>
        </c:dLbls>
        <c:gapWidth val="100"/>
        <c:overlap val="-24"/>
        <c:axId val="2103516592"/>
        <c:axId val="2103510352"/>
      </c:barChart>
      <c:catAx>
        <c:axId val="21035165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510352"/>
        <c:crosses val="autoZero"/>
        <c:auto val="1"/>
        <c:lblAlgn val="ctr"/>
        <c:lblOffset val="100"/>
        <c:noMultiLvlLbl val="0"/>
      </c:catAx>
      <c:valAx>
        <c:axId val="2103510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51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Sum of Total</c:v>
                </c:pt>
              </c:strCache>
            </c:strRef>
          </c:tx>
          <c:explosion val="1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08-4C27-BA96-BAC9777F30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08-4C27-BA96-BAC9777F30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08-4C27-BA96-BAC9777F30F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A08-4C27-BA96-BAC9777F30F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A08-4C27-BA96-BAC9777F30F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A08-4C27-BA96-BAC9777F30F1}"/>
              </c:ext>
            </c:extLst>
          </c:dPt>
          <c:cat>
            <c:strRef>
              <c:f>Sheet3!$A$4:$A$10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Sheet3!$B$4:$B$10</c:f>
              <c:numCache>
                <c:formatCode>_ "₹"\ * #,##0_ ;_ "₹"\ * \-#,##0_ ;_ "₹"\ * "-"??_ ;_ @_ </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C-0A08-4C27-BA96-BAC9777F30F1}"/>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0A08-4C27-BA96-BAC9777F30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0A08-4C27-BA96-BAC9777F30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0A08-4C27-BA96-BAC9777F30F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0A08-4C27-BA96-BAC9777F30F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0A08-4C27-BA96-BAC9777F30F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0A08-4C27-BA96-BAC9777F30F1}"/>
              </c:ext>
            </c:extLst>
          </c:dPt>
          <c:cat>
            <c:strRef>
              <c:f>Sheet3!$A$4:$A$10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Sheet3!$C$4:$C$10</c:f>
              <c:numCache>
                <c:formatCode>_ "₹"\ * #,##0_ ;_ "₹"\ * \-#,##0_ ;_ "₹"\ * "-"??_ ;_ @_ </c:formatCode>
                <c:ptCount val="6"/>
                <c:pt idx="0">
                  <c:v>2342.5589999999993</c:v>
                </c:pt>
                <c:pt idx="1">
                  <c:v>2564.8530000000019</c:v>
                </c:pt>
                <c:pt idx="2">
                  <c:v>2585.9949999999999</c:v>
                </c:pt>
                <c:pt idx="3">
                  <c:v>2587.5015000000017</c:v>
                </c:pt>
                <c:pt idx="4">
                  <c:v>2624.8964999999994</c:v>
                </c:pt>
                <c:pt idx="5">
                  <c:v>2673.5639999999994</c:v>
                </c:pt>
              </c:numCache>
            </c:numRef>
          </c:val>
          <c:extLst>
            <c:ext xmlns:c16="http://schemas.microsoft.com/office/drawing/2014/chart" uri="{C3380CC4-5D6E-409C-BE32-E72D297353CC}">
              <c16:uniqueId val="{00000019-0A08-4C27-BA96-BAC9777F30F1}"/>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0A08-4C27-BA96-BAC9777F30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0A08-4C27-BA96-BAC9777F30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0A08-4C27-BA96-BAC9777F30F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0A08-4C27-BA96-BAC9777F30F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0A08-4C27-BA96-BAC9777F30F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0A08-4C27-BA96-BAC9777F30F1}"/>
              </c:ext>
            </c:extLst>
          </c:dPt>
          <c:cat>
            <c:strRef>
              <c:f>Sheet3!$A$4:$A$10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Sheet3!$D$4:$D$10</c:f>
              <c:numCache>
                <c:formatCode>_ "₹"\ * #,##0_ ;_ "₹"\ * \-#,##0_ ;_ "₹"\ * "-"??_ ;_ @_ </c:formatCode>
                <c:ptCount val="6"/>
                <c:pt idx="0">
                  <c:v>8337.880000000001</c:v>
                </c:pt>
                <c:pt idx="1">
                  <c:v>8850.7099999999955</c:v>
                </c:pt>
                <c:pt idx="2">
                  <c:v>10173.349999999997</c:v>
                </c:pt>
                <c:pt idx="3">
                  <c:v>9103.7700000000059</c:v>
                </c:pt>
                <c:pt idx="4">
                  <c:v>9460.8799999999956</c:v>
                </c:pt>
                <c:pt idx="5">
                  <c:v>9745.5400000000063</c:v>
                </c:pt>
              </c:numCache>
            </c:numRef>
          </c:val>
          <c:extLst>
            <c:ext xmlns:c16="http://schemas.microsoft.com/office/drawing/2014/chart" uri="{C3380CC4-5D6E-409C-BE32-E72D297353CC}">
              <c16:uniqueId val="{00000026-0A08-4C27-BA96-BAC9777F30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(Repaired).xlsx]Sheet4!PivotTable3</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3"/>
                <c:pt idx="0">
                  <c:v>Mandalay</c:v>
                </c:pt>
                <c:pt idx="1">
                  <c:v>Naypyitaw</c:v>
                </c:pt>
                <c:pt idx="2">
                  <c:v>Yangon</c:v>
                </c:pt>
              </c:strCache>
            </c:strRef>
          </c:cat>
          <c:val>
            <c:numRef>
              <c:f>Sheet4!$B$4:$B$7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2282-4F7D-B543-6A6649351F73}"/>
            </c:ext>
          </c:extLst>
        </c:ser>
        <c:ser>
          <c:idx val="1"/>
          <c:order val="1"/>
          <c:tx>
            <c:strRef>
              <c:f>Sheet4!$C$3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Sheet4!$A$4:$A$7</c:f>
              <c:strCache>
                <c:ptCount val="3"/>
                <c:pt idx="0">
                  <c:v>Mandalay</c:v>
                </c:pt>
                <c:pt idx="1">
                  <c:v>Naypyitaw</c:v>
                </c:pt>
                <c:pt idx="2">
                  <c:v>Yangon</c:v>
                </c:pt>
              </c:strCache>
            </c:strRef>
          </c:cat>
          <c:val>
            <c:numRef>
              <c:f>Sheet4!$C$4:$C$7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2282-4F7D-B543-6A6649351F73}"/>
            </c:ext>
          </c:extLst>
        </c:ser>
        <c:dLbls>
          <c:showLegendKey val="0"/>
          <c:showVal val="0"/>
          <c:showCatName val="0"/>
          <c:showSerName val="0"/>
          <c:showPercent val="0"/>
          <c:showBubbleSize val="0"/>
        </c:dLbls>
        <c:gapWidth val="150"/>
        <c:overlap val="100"/>
        <c:axId val="2108932608"/>
        <c:axId val="2108937408"/>
      </c:barChart>
      <c:catAx>
        <c:axId val="2108932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937408"/>
        <c:crosses val="autoZero"/>
        <c:auto val="1"/>
        <c:lblAlgn val="ctr"/>
        <c:lblOffset val="100"/>
        <c:noMultiLvlLbl val="0"/>
      </c:catAx>
      <c:valAx>
        <c:axId val="2108937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9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(Repaired).xlsx]Sheet5!PivotTable4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1BA-4196-B97F-FF5CF6EF807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1BA-4196-B97F-FF5CF6EF807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1BA-4196-B97F-FF5CF6EF80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61BA-4196-B97F-FF5CF6EF8074}"/>
            </c:ext>
          </c:extLst>
        </c:ser>
        <c:ser>
          <c:idx val="1"/>
          <c:order val="1"/>
          <c:tx>
            <c:strRef>
              <c:f>Sheet5!$C$3</c:f>
              <c:strCache>
                <c:ptCount val="1"/>
                <c:pt idx="0">
                  <c:v>Count of City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61BA-4196-B97F-FF5CF6EF807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61BA-4196-B97F-FF5CF6EF807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61BA-4196-B97F-FF5CF6EF80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Sheet5!$C$4:$C$7</c:f>
              <c:numCache>
                <c:formatCode>General</c:formatCode>
                <c:ptCount val="3"/>
                <c:pt idx="0">
                  <c:v>332</c:v>
                </c:pt>
                <c:pt idx="1">
                  <c:v>328</c:v>
                </c:pt>
                <c:pt idx="2">
                  <c:v>340</c:v>
                </c:pt>
              </c:numCache>
            </c:numRef>
          </c:val>
          <c:extLst>
            <c:ext xmlns:c16="http://schemas.microsoft.com/office/drawing/2014/chart" uri="{C3380CC4-5D6E-409C-BE32-E72D297353CC}">
              <c16:uniqueId val="{0000000D-61BA-4196-B97F-FF5CF6EF807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(Repaired).xlsx]Sheet6!PivotTable5</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Sheet6!$B$4:$B$10</c:f>
              <c:numCache>
                <c:formatCode>_ [$₹-4009]\ * #,##0_ ;_ [$₹-4009]\ * \-#,##0_ ;_ [$₹-4009]\ * "-"??_ ;_ @_ </c:formatCode>
                <c:ptCount val="6"/>
                <c:pt idx="0">
                  <c:v>49193.739000000016</c:v>
                </c:pt>
                <c:pt idx="1">
                  <c:v>53861.913000000008</c:v>
                </c:pt>
                <c:pt idx="2">
                  <c:v>54305.894999999997</c:v>
                </c:pt>
                <c:pt idx="3">
                  <c:v>54337.531500000005</c:v>
                </c:pt>
                <c:pt idx="4">
                  <c:v>55122.826499999996</c:v>
                </c:pt>
                <c:pt idx="5">
                  <c:v>56144.844000000005</c:v>
                </c:pt>
              </c:numCache>
            </c:numRef>
          </c:val>
          <c:smooth val="0"/>
          <c:extLst>
            <c:ext xmlns:c16="http://schemas.microsoft.com/office/drawing/2014/chart" uri="{C3380CC4-5D6E-409C-BE32-E72D297353CC}">
              <c16:uniqueId val="{00000000-E5F3-4DED-8F4F-189116670EFA}"/>
            </c:ext>
          </c:extLst>
        </c:ser>
        <c:dLbls>
          <c:showLegendKey val="0"/>
          <c:showVal val="0"/>
          <c:showCatName val="0"/>
          <c:showSerName val="0"/>
          <c:showPercent val="0"/>
          <c:showBubbleSize val="0"/>
        </c:dLbls>
        <c:marker val="1"/>
        <c:smooth val="0"/>
        <c:axId val="2125333072"/>
        <c:axId val="2125332592"/>
      </c:lineChart>
      <c:catAx>
        <c:axId val="2125333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5332592"/>
        <c:crosses val="autoZero"/>
        <c:auto val="1"/>
        <c:lblAlgn val="ctr"/>
        <c:lblOffset val="100"/>
        <c:noMultiLvlLbl val="0"/>
      </c:catAx>
      <c:valAx>
        <c:axId val="2125332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533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(Repaired).xlsx]Sheet7!PivotTable6</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Sheet7!$A$4:$A$6</c:f>
              <c:strCache>
                <c:ptCount val="2"/>
                <c:pt idx="0">
                  <c:v>Member</c:v>
                </c:pt>
                <c:pt idx="1">
                  <c:v>Normal</c:v>
                </c:pt>
              </c:strCache>
            </c:strRef>
          </c:cat>
          <c:val>
            <c:numRef>
              <c:f>Sheet7!$B$4:$B$6</c:f>
              <c:numCache>
                <c:formatCode>_ "₹"\ * #,##0_ ;_ "₹"\ * \-#,##0_ ;_ "₹"\ * "-"??_ ;_ @_ </c:formatCode>
                <c:ptCount val="2"/>
                <c:pt idx="0">
                  <c:v>164223.44400000002</c:v>
                </c:pt>
                <c:pt idx="1">
                  <c:v>158743.30500000005</c:v>
                </c:pt>
              </c:numCache>
            </c:numRef>
          </c:val>
          <c:extLst>
            <c:ext xmlns:c16="http://schemas.microsoft.com/office/drawing/2014/chart" uri="{C3380CC4-5D6E-409C-BE32-E72D297353CC}">
              <c16:uniqueId val="{00000000-8302-4297-8B57-3A1275484206}"/>
            </c:ext>
          </c:extLst>
        </c:ser>
        <c:dLbls>
          <c:showLegendKey val="0"/>
          <c:showVal val="1"/>
          <c:showCatName val="0"/>
          <c:showSerName val="0"/>
          <c:showPercent val="0"/>
          <c:showBubbleSize val="0"/>
        </c:dLbls>
        <c:gapWidth val="150"/>
        <c:shape val="box"/>
        <c:axId val="2137143456"/>
        <c:axId val="2137142496"/>
        <c:axId val="0"/>
      </c:bar3DChart>
      <c:catAx>
        <c:axId val="2137143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42496"/>
        <c:crosses val="autoZero"/>
        <c:auto val="1"/>
        <c:lblAlgn val="ctr"/>
        <c:lblOffset val="100"/>
        <c:noMultiLvlLbl val="0"/>
      </c:catAx>
      <c:valAx>
        <c:axId val="2137142496"/>
        <c:scaling>
          <c:orientation val="minMax"/>
        </c:scaling>
        <c:delete val="0"/>
        <c:axPos val="l"/>
        <c:majorGridlines>
          <c:spPr>
            <a:ln>
              <a:solidFill>
                <a:schemeClr val="tx1">
                  <a:lumMod val="15000"/>
                  <a:lumOff val="85000"/>
                </a:schemeClr>
              </a:solidFill>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4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328724</xdr:colOff>
      <xdr:row>6</xdr:row>
      <xdr:rowOff>170961</xdr:rowOff>
    </xdr:from>
    <xdr:to>
      <xdr:col>13</xdr:col>
      <xdr:colOff>227135</xdr:colOff>
      <xdr:row>24</xdr:row>
      <xdr:rowOff>58614</xdr:rowOff>
    </xdr:to>
    <xdr:graphicFrame macro="">
      <xdr:nvGraphicFramePr>
        <xdr:cNvPr id="2" name="Chart 1">
          <a:extLst>
            <a:ext uri="{FF2B5EF4-FFF2-40B4-BE49-F238E27FC236}">
              <a16:creationId xmlns:a16="http://schemas.microsoft.com/office/drawing/2014/main" id="{52EA5AC8-3CC3-1ABB-96E5-FE08FEF45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203134</xdr:colOff>
      <xdr:row>10</xdr:row>
      <xdr:rowOff>11670</xdr:rowOff>
    </xdr:from>
    <xdr:to>
      <xdr:col>11</xdr:col>
      <xdr:colOff>498737</xdr:colOff>
      <xdr:row>24</xdr:row>
      <xdr:rowOff>87870</xdr:rowOff>
    </xdr:to>
    <xdr:graphicFrame macro="">
      <xdr:nvGraphicFramePr>
        <xdr:cNvPr id="2" name="Chart 1">
          <a:extLst>
            <a:ext uri="{FF2B5EF4-FFF2-40B4-BE49-F238E27FC236}">
              <a16:creationId xmlns:a16="http://schemas.microsoft.com/office/drawing/2014/main" id="{19C93E8B-9505-B863-B260-7C8230E23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331177</xdr:colOff>
      <xdr:row>2</xdr:row>
      <xdr:rowOff>76934</xdr:rowOff>
    </xdr:from>
    <xdr:to>
      <xdr:col>12</xdr:col>
      <xdr:colOff>335573</xdr:colOff>
      <xdr:row>7</xdr:row>
      <xdr:rowOff>146540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2B35163-58DA-FCC5-0BD8-05EC6D7A02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48196" y="457934"/>
              <a:ext cx="1828800" cy="1022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446484</xdr:colOff>
      <xdr:row>4</xdr:row>
      <xdr:rowOff>160734</xdr:rowOff>
    </xdr:from>
    <xdr:to>
      <xdr:col>8</xdr:col>
      <xdr:colOff>331341</xdr:colOff>
      <xdr:row>16</xdr:row>
      <xdr:rowOff>44633</xdr:rowOff>
    </xdr:to>
    <xdr:graphicFrame macro="">
      <xdr:nvGraphicFramePr>
        <xdr:cNvPr id="2" name="Chart 1">
          <a:extLst>
            <a:ext uri="{FF2B5EF4-FFF2-40B4-BE49-F238E27FC236}">
              <a16:creationId xmlns:a16="http://schemas.microsoft.com/office/drawing/2014/main" id="{267B4A42-33AF-4FF5-1302-23D742EFB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261937</xdr:colOff>
      <xdr:row>1</xdr:row>
      <xdr:rowOff>188119</xdr:rowOff>
    </xdr:from>
    <xdr:to>
      <xdr:col>11</xdr:col>
      <xdr:colOff>269081</xdr:colOff>
      <xdr:row>15</xdr:row>
      <xdr:rowOff>45244</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A567D57F-16BD-4812-DF32-68DFBCAF210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006828" y="3786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447810</xdr:colOff>
      <xdr:row>4</xdr:row>
      <xdr:rowOff>13929</xdr:rowOff>
    </xdr:from>
    <xdr:to>
      <xdr:col>11</xdr:col>
      <xdr:colOff>133395</xdr:colOff>
      <xdr:row>18</xdr:row>
      <xdr:rowOff>90129</xdr:rowOff>
    </xdr:to>
    <xdr:graphicFrame macro="">
      <xdr:nvGraphicFramePr>
        <xdr:cNvPr id="2" name="Chart 1">
          <a:extLst>
            <a:ext uri="{FF2B5EF4-FFF2-40B4-BE49-F238E27FC236}">
              <a16:creationId xmlns:a16="http://schemas.microsoft.com/office/drawing/2014/main" id="{9AF057DC-33E1-4C55-81B8-BC52EAFE7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307427</xdr:colOff>
      <xdr:row>1</xdr:row>
      <xdr:rowOff>181960</xdr:rowOff>
    </xdr:from>
    <xdr:to>
      <xdr:col>14</xdr:col>
      <xdr:colOff>303485</xdr:colOff>
      <xdr:row>8</xdr:row>
      <xdr:rowOff>183931</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18790AA4-21AF-A93C-8120-6266CF913C6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697513" y="372460"/>
              <a:ext cx="1828800" cy="1335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473926</xdr:colOff>
      <xdr:row>3</xdr:row>
      <xdr:rowOff>27878</xdr:rowOff>
    </xdr:from>
    <xdr:to>
      <xdr:col>8</xdr:col>
      <xdr:colOff>180464</xdr:colOff>
      <xdr:row>14</xdr:row>
      <xdr:rowOff>108726</xdr:rowOff>
    </xdr:to>
    <xdr:graphicFrame macro="">
      <xdr:nvGraphicFramePr>
        <xdr:cNvPr id="2" name="Chart 1">
          <a:extLst>
            <a:ext uri="{FF2B5EF4-FFF2-40B4-BE49-F238E27FC236}">
              <a16:creationId xmlns:a16="http://schemas.microsoft.com/office/drawing/2014/main" id="{3AA83B76-97A7-F916-43E2-03C80CAA8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346821</xdr:colOff>
      <xdr:row>2</xdr:row>
      <xdr:rowOff>100677</xdr:rowOff>
    </xdr:from>
    <xdr:to>
      <xdr:col>11</xdr:col>
      <xdr:colOff>349609</xdr:colOff>
      <xdr:row>9</xdr:row>
      <xdr:rowOff>10306</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223B23D-450D-8267-051D-5A7A34D7DC1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151118" y="481677"/>
              <a:ext cx="1824444" cy="1243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440531</xdr:colOff>
      <xdr:row>10</xdr:row>
      <xdr:rowOff>63104</xdr:rowOff>
    </xdr:from>
    <xdr:to>
      <xdr:col>11</xdr:col>
      <xdr:colOff>447675</xdr:colOff>
      <xdr:row>15</xdr:row>
      <xdr:rowOff>154782</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CA51293A-3DE2-44C0-B4A1-EDA27B0A2C0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244828" y="1968104"/>
              <a:ext cx="1828800" cy="104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506452</xdr:colOff>
      <xdr:row>1</xdr:row>
      <xdr:rowOff>69695</xdr:rowOff>
    </xdr:from>
    <xdr:to>
      <xdr:col>8</xdr:col>
      <xdr:colOff>506451</xdr:colOff>
      <xdr:row>12</xdr:row>
      <xdr:rowOff>168197</xdr:rowOff>
    </xdr:to>
    <xdr:graphicFrame macro="">
      <xdr:nvGraphicFramePr>
        <xdr:cNvPr id="2" name="Chart 1">
          <a:extLst>
            <a:ext uri="{FF2B5EF4-FFF2-40B4-BE49-F238E27FC236}">
              <a16:creationId xmlns:a16="http://schemas.microsoft.com/office/drawing/2014/main" id="{3654F1C0-4E6D-AAAA-B184-822BAC5A8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247650</xdr:colOff>
      <xdr:row>0</xdr:row>
      <xdr:rowOff>133350</xdr:rowOff>
    </xdr:from>
    <xdr:to>
      <xdr:col>1</xdr:col>
      <xdr:colOff>85725</xdr:colOff>
      <xdr:row>0</xdr:row>
      <xdr:rowOff>581025</xdr:rowOff>
    </xdr:to>
    <xdr:pic>
      <xdr:nvPicPr>
        <xdr:cNvPr id="3" name="Picture 2">
          <a:extLst>
            <a:ext uri="{FF2B5EF4-FFF2-40B4-BE49-F238E27FC236}">
              <a16:creationId xmlns:a16="http://schemas.microsoft.com/office/drawing/2014/main" id="{65A29870-EE49-5B48-F45C-E26D8F7925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133350"/>
          <a:ext cx="447675" cy="447675"/>
        </a:xfrm>
        <a:prstGeom prst="rect">
          <a:avLst/>
        </a:prstGeom>
      </xdr:spPr>
    </xdr:pic>
    <xdr:clientData/>
  </xdr:twoCellAnchor>
  <xdr:twoCellAnchor>
    <xdr:from>
      <xdr:col>3</xdr:col>
      <xdr:colOff>95250</xdr:colOff>
      <xdr:row>2</xdr:row>
      <xdr:rowOff>66675</xdr:rowOff>
    </xdr:from>
    <xdr:to>
      <xdr:col>7</xdr:col>
      <xdr:colOff>133350</xdr:colOff>
      <xdr:row>5</xdr:row>
      <xdr:rowOff>152400</xdr:rowOff>
    </xdr:to>
    <xdr:sp macro="" textlink="Sheet8!A4:B4">
      <xdr:nvSpPr>
        <xdr:cNvPr id="4" name="Rectangle: Rounded Corners 3">
          <a:extLst>
            <a:ext uri="{FF2B5EF4-FFF2-40B4-BE49-F238E27FC236}">
              <a16:creationId xmlns:a16="http://schemas.microsoft.com/office/drawing/2014/main" id="{7D5B5080-325C-B52E-5D0A-355AB7A53654}"/>
            </a:ext>
          </a:extLst>
        </xdr:cNvPr>
        <xdr:cNvSpPr/>
      </xdr:nvSpPr>
      <xdr:spPr>
        <a:xfrm>
          <a:off x="1924050" y="876300"/>
          <a:ext cx="2476500" cy="65722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CAE8208-205E-48B3-B10F-41923DB5526F}" type="TxLink">
            <a:rPr lang="en-US" sz="1600" b="1" i="0" u="none" strike="noStrike">
              <a:solidFill>
                <a:srgbClr val="000000"/>
              </a:solidFill>
              <a:latin typeface="Calibri"/>
              <a:cs typeface="Calibri"/>
            </a:rPr>
            <a:pPr algn="ctr"/>
            <a:t> ₹ 3,22,967 </a:t>
          </a:fld>
          <a:endParaRPr lang="en-IN" sz="1600" b="1"/>
        </a:p>
      </xdr:txBody>
    </xdr:sp>
    <xdr:clientData/>
  </xdr:twoCellAnchor>
  <xdr:twoCellAnchor>
    <xdr:from>
      <xdr:col>7</xdr:col>
      <xdr:colOff>438151</xdr:colOff>
      <xdr:row>2</xdr:row>
      <xdr:rowOff>19050</xdr:rowOff>
    </xdr:from>
    <xdr:to>
      <xdr:col>11</xdr:col>
      <xdr:colOff>213123</xdr:colOff>
      <xdr:row>5</xdr:row>
      <xdr:rowOff>104775</xdr:rowOff>
    </xdr:to>
    <xdr:sp macro="" textlink="Sheet8!B4:C4">
      <xdr:nvSpPr>
        <xdr:cNvPr id="5" name="Rectangle: Rounded Corners 4">
          <a:extLst>
            <a:ext uri="{FF2B5EF4-FFF2-40B4-BE49-F238E27FC236}">
              <a16:creationId xmlns:a16="http://schemas.microsoft.com/office/drawing/2014/main" id="{DB0E4411-0DEA-B936-716E-0DF9DDE39781}"/>
            </a:ext>
          </a:extLst>
        </xdr:cNvPr>
        <xdr:cNvSpPr/>
      </xdr:nvSpPr>
      <xdr:spPr>
        <a:xfrm>
          <a:off x="4705351" y="828675"/>
          <a:ext cx="2213372" cy="65722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F556763-1AB8-4998-95FA-6FED1AAB7DFD}" type="TxLink">
            <a:rPr lang="en-US" sz="1600" b="1" i="0" u="none" strike="noStrike">
              <a:solidFill>
                <a:srgbClr val="000000"/>
              </a:solidFill>
              <a:latin typeface="Calibri"/>
              <a:cs typeface="Calibri"/>
            </a:rPr>
            <a:pPr algn="ctr"/>
            <a:t> ₹ 15,379 </a:t>
          </a:fld>
          <a:endParaRPr lang="en-IN" sz="1600" b="1"/>
        </a:p>
      </xdr:txBody>
    </xdr:sp>
    <xdr:clientData/>
  </xdr:twoCellAnchor>
  <xdr:twoCellAnchor>
    <xdr:from>
      <xdr:col>11</xdr:col>
      <xdr:colOff>552450</xdr:colOff>
      <xdr:row>2</xdr:row>
      <xdr:rowOff>9525</xdr:rowOff>
    </xdr:from>
    <xdr:to>
      <xdr:col>15</xdr:col>
      <xdr:colOff>447675</xdr:colOff>
      <xdr:row>5</xdr:row>
      <xdr:rowOff>95250</xdr:rowOff>
    </xdr:to>
    <xdr:sp macro="" textlink="Sheet8!C4:D4">
      <xdr:nvSpPr>
        <xdr:cNvPr id="6" name="Rectangle: Rounded Corners 5">
          <a:extLst>
            <a:ext uri="{FF2B5EF4-FFF2-40B4-BE49-F238E27FC236}">
              <a16:creationId xmlns:a16="http://schemas.microsoft.com/office/drawing/2014/main" id="{F3BB43C2-1090-8384-43D7-319D3F630359}"/>
            </a:ext>
          </a:extLst>
        </xdr:cNvPr>
        <xdr:cNvSpPr/>
      </xdr:nvSpPr>
      <xdr:spPr>
        <a:xfrm>
          <a:off x="7258050" y="819150"/>
          <a:ext cx="2333625" cy="65722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906462-6D49-41D3-9F58-34C1A510B368}" type="TxLink">
            <a:rPr lang="en-US" sz="1600" b="1" i="0" u="none" strike="noStrike">
              <a:solidFill>
                <a:srgbClr val="000000"/>
              </a:solidFill>
              <a:latin typeface="Calibri"/>
              <a:cs typeface="Calibri"/>
            </a:rPr>
            <a:pPr algn="ctr"/>
            <a:t> ₹ 5,510 </a:t>
          </a:fld>
          <a:endParaRPr lang="en-IN" sz="1600" b="1"/>
        </a:p>
      </xdr:txBody>
    </xdr:sp>
    <xdr:clientData/>
  </xdr:twoCellAnchor>
  <xdr:twoCellAnchor>
    <xdr:from>
      <xdr:col>16</xdr:col>
      <xdr:colOff>95250</xdr:colOff>
      <xdr:row>2</xdr:row>
      <xdr:rowOff>0</xdr:rowOff>
    </xdr:from>
    <xdr:to>
      <xdr:col>20</xdr:col>
      <xdr:colOff>66675</xdr:colOff>
      <xdr:row>5</xdr:row>
      <xdr:rowOff>85725</xdr:rowOff>
    </xdr:to>
    <xdr:sp macro="" textlink="Sheet8!D4:E4">
      <xdr:nvSpPr>
        <xdr:cNvPr id="7" name="Rectangle: Rounded Corners 6">
          <a:extLst>
            <a:ext uri="{FF2B5EF4-FFF2-40B4-BE49-F238E27FC236}">
              <a16:creationId xmlns:a16="http://schemas.microsoft.com/office/drawing/2014/main" id="{5C0FAABF-4AE1-DD7A-84CB-9A301132C139}"/>
            </a:ext>
          </a:extLst>
        </xdr:cNvPr>
        <xdr:cNvSpPr/>
      </xdr:nvSpPr>
      <xdr:spPr>
        <a:xfrm>
          <a:off x="9848850" y="809625"/>
          <a:ext cx="2409825" cy="65722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4912AC-6B14-4185-A13E-848CF8BADB2D}" type="TxLink">
            <a:rPr lang="en-US" sz="1600" b="1" i="0" u="none" strike="noStrike">
              <a:solidFill>
                <a:srgbClr val="000000"/>
              </a:solidFill>
              <a:latin typeface="Calibri"/>
              <a:cs typeface="Calibri"/>
            </a:rPr>
            <a:pPr algn="ctr"/>
            <a:t> ₹ 55,672 </a:t>
          </a:fld>
          <a:endParaRPr lang="en-IN" sz="1600" b="1"/>
        </a:p>
      </xdr:txBody>
    </xdr:sp>
    <xdr:clientData/>
  </xdr:twoCellAnchor>
  <xdr:twoCellAnchor>
    <xdr:from>
      <xdr:col>4</xdr:col>
      <xdr:colOff>150019</xdr:colOff>
      <xdr:row>2</xdr:row>
      <xdr:rowOff>152400</xdr:rowOff>
    </xdr:from>
    <xdr:to>
      <xdr:col>5</xdr:col>
      <xdr:colOff>438149</xdr:colOff>
      <xdr:row>3</xdr:row>
      <xdr:rowOff>164306</xdr:rowOff>
    </xdr:to>
    <xdr:sp macro="" textlink="">
      <xdr:nvSpPr>
        <xdr:cNvPr id="8" name="TextBox 7">
          <a:extLst>
            <a:ext uri="{FF2B5EF4-FFF2-40B4-BE49-F238E27FC236}">
              <a16:creationId xmlns:a16="http://schemas.microsoft.com/office/drawing/2014/main" id="{599CB375-D720-AECC-F17D-BED9E9DEAFF9}"/>
            </a:ext>
          </a:extLst>
        </xdr:cNvPr>
        <xdr:cNvSpPr txBox="1"/>
      </xdr:nvSpPr>
      <xdr:spPr>
        <a:xfrm>
          <a:off x="2588419" y="962025"/>
          <a:ext cx="897730"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        Total</a:t>
          </a:r>
        </a:p>
      </xdr:txBody>
    </xdr:sp>
    <xdr:clientData/>
  </xdr:twoCellAnchor>
  <xdr:twoCellAnchor>
    <xdr:from>
      <xdr:col>8</xdr:col>
      <xdr:colOff>441641</xdr:colOff>
      <xdr:row>2</xdr:row>
      <xdr:rowOff>97632</xdr:rowOff>
    </xdr:from>
    <xdr:to>
      <xdr:col>10</xdr:col>
      <xdr:colOff>389334</xdr:colOff>
      <xdr:row>3</xdr:row>
      <xdr:rowOff>109538</xdr:rowOff>
    </xdr:to>
    <xdr:sp macro="" textlink="">
      <xdr:nvSpPr>
        <xdr:cNvPr id="9" name="TextBox 8">
          <a:extLst>
            <a:ext uri="{FF2B5EF4-FFF2-40B4-BE49-F238E27FC236}">
              <a16:creationId xmlns:a16="http://schemas.microsoft.com/office/drawing/2014/main" id="{DBC7C5AC-E704-A3EA-FDFB-02D56DEBDDC3}"/>
            </a:ext>
          </a:extLst>
        </xdr:cNvPr>
        <xdr:cNvSpPr txBox="1"/>
      </xdr:nvSpPr>
      <xdr:spPr>
        <a:xfrm>
          <a:off x="5318441" y="907257"/>
          <a:ext cx="116689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Tax</a:t>
          </a:r>
        </a:p>
      </xdr:txBody>
    </xdr:sp>
    <xdr:clientData/>
  </xdr:twoCellAnchor>
  <xdr:twoCellAnchor>
    <xdr:from>
      <xdr:col>13</xdr:col>
      <xdr:colOff>152573</xdr:colOff>
      <xdr:row>2</xdr:row>
      <xdr:rowOff>94060</xdr:rowOff>
    </xdr:from>
    <xdr:to>
      <xdr:col>15</xdr:col>
      <xdr:colOff>166686</xdr:colOff>
      <xdr:row>3</xdr:row>
      <xdr:rowOff>105966</xdr:rowOff>
    </xdr:to>
    <xdr:sp macro="" textlink="">
      <xdr:nvSpPr>
        <xdr:cNvPr id="10" name="TextBox 9">
          <a:extLst>
            <a:ext uri="{FF2B5EF4-FFF2-40B4-BE49-F238E27FC236}">
              <a16:creationId xmlns:a16="http://schemas.microsoft.com/office/drawing/2014/main" id="{476FF447-A486-7564-32CA-9C8BEF556297}"/>
            </a:ext>
          </a:extLst>
        </xdr:cNvPr>
        <xdr:cNvSpPr txBox="1"/>
      </xdr:nvSpPr>
      <xdr:spPr>
        <a:xfrm>
          <a:off x="8077373" y="903685"/>
          <a:ext cx="123331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Quanity</a:t>
          </a:r>
        </a:p>
      </xdr:txBody>
    </xdr:sp>
    <xdr:clientData/>
  </xdr:twoCellAnchor>
  <xdr:twoCellAnchor>
    <xdr:from>
      <xdr:col>17</xdr:col>
      <xdr:colOff>286872</xdr:colOff>
      <xdr:row>2</xdr:row>
      <xdr:rowOff>40482</xdr:rowOff>
    </xdr:from>
    <xdr:to>
      <xdr:col>19</xdr:col>
      <xdr:colOff>338136</xdr:colOff>
      <xdr:row>3</xdr:row>
      <xdr:rowOff>52388</xdr:rowOff>
    </xdr:to>
    <xdr:sp macro="" textlink="">
      <xdr:nvSpPr>
        <xdr:cNvPr id="11" name="TextBox 10">
          <a:extLst>
            <a:ext uri="{FF2B5EF4-FFF2-40B4-BE49-F238E27FC236}">
              <a16:creationId xmlns:a16="http://schemas.microsoft.com/office/drawing/2014/main" id="{FBD29A10-EA8F-F685-B004-3190D79CFFBA}"/>
            </a:ext>
          </a:extLst>
        </xdr:cNvPr>
        <xdr:cNvSpPr txBox="1"/>
      </xdr:nvSpPr>
      <xdr:spPr>
        <a:xfrm>
          <a:off x="10650072" y="850107"/>
          <a:ext cx="1270464"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Unit</a:t>
          </a:r>
          <a:r>
            <a:rPr lang="en-IN" sz="1200" b="1" baseline="0"/>
            <a:t> Price</a:t>
          </a:r>
          <a:endParaRPr lang="en-IN" sz="1200" b="1"/>
        </a:p>
      </xdr:txBody>
    </xdr:sp>
    <xdr:clientData/>
  </xdr:twoCellAnchor>
  <xdr:twoCellAnchor>
    <xdr:from>
      <xdr:col>0</xdr:col>
      <xdr:colOff>486507</xdr:colOff>
      <xdr:row>6</xdr:row>
      <xdr:rowOff>189768</xdr:rowOff>
    </xdr:from>
    <xdr:to>
      <xdr:col>8</xdr:col>
      <xdr:colOff>523874</xdr:colOff>
      <xdr:row>19</xdr:row>
      <xdr:rowOff>57883</xdr:rowOff>
    </xdr:to>
    <xdr:graphicFrame macro="">
      <xdr:nvGraphicFramePr>
        <xdr:cNvPr id="12" name="Chart 11">
          <a:extLst>
            <a:ext uri="{FF2B5EF4-FFF2-40B4-BE49-F238E27FC236}">
              <a16:creationId xmlns:a16="http://schemas.microsoft.com/office/drawing/2014/main" id="{643C3CCB-7DD0-4A0C-B0BC-9E20903A0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6</xdr:row>
      <xdr:rowOff>180974</xdr:rowOff>
    </xdr:from>
    <xdr:to>
      <xdr:col>16</xdr:col>
      <xdr:colOff>523875</xdr:colOff>
      <xdr:row>19</xdr:row>
      <xdr:rowOff>133349</xdr:rowOff>
    </xdr:to>
    <xdr:graphicFrame macro="">
      <xdr:nvGraphicFramePr>
        <xdr:cNvPr id="13" name="Chart 12">
          <a:extLst>
            <a:ext uri="{FF2B5EF4-FFF2-40B4-BE49-F238E27FC236}">
              <a16:creationId xmlns:a16="http://schemas.microsoft.com/office/drawing/2014/main" id="{546A4EEE-F4AE-4421-87E9-A4EFF7FE4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85726</xdr:colOff>
      <xdr:row>6</xdr:row>
      <xdr:rowOff>171450</xdr:rowOff>
    </xdr:from>
    <xdr:to>
      <xdr:col>24</xdr:col>
      <xdr:colOff>534940</xdr:colOff>
      <xdr:row>19</xdr:row>
      <xdr:rowOff>171450</xdr:rowOff>
    </xdr:to>
    <xdr:graphicFrame macro="">
      <xdr:nvGraphicFramePr>
        <xdr:cNvPr id="14" name="Chart 13">
          <a:extLst>
            <a:ext uri="{FF2B5EF4-FFF2-40B4-BE49-F238E27FC236}">
              <a16:creationId xmlns:a16="http://schemas.microsoft.com/office/drawing/2014/main" id="{14F3844D-BD0F-49E9-8FB0-FAD74ECED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542925</xdr:colOff>
      <xdr:row>20</xdr:row>
      <xdr:rowOff>28575</xdr:rowOff>
    </xdr:from>
    <xdr:to>
      <xdr:col>8</xdr:col>
      <xdr:colOff>495300</xdr:colOff>
      <xdr:row>32</xdr:row>
      <xdr:rowOff>180975</xdr:rowOff>
    </xdr:to>
    <xdr:graphicFrame macro="">
      <xdr:nvGraphicFramePr>
        <xdr:cNvPr id="15" name="Chart 14">
          <a:extLst>
            <a:ext uri="{FF2B5EF4-FFF2-40B4-BE49-F238E27FC236}">
              <a16:creationId xmlns:a16="http://schemas.microsoft.com/office/drawing/2014/main" id="{1C13E83D-0E2D-456A-8630-3DED3F94E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161926</xdr:colOff>
      <xdr:row>20</xdr:row>
      <xdr:rowOff>76200</xdr:rowOff>
    </xdr:from>
    <xdr:to>
      <xdr:col>16</xdr:col>
      <xdr:colOff>542926</xdr:colOff>
      <xdr:row>33</xdr:row>
      <xdr:rowOff>14173</xdr:rowOff>
    </xdr:to>
    <xdr:graphicFrame macro="">
      <xdr:nvGraphicFramePr>
        <xdr:cNvPr id="16" name="Chart 15">
          <a:extLst>
            <a:ext uri="{FF2B5EF4-FFF2-40B4-BE49-F238E27FC236}">
              <a16:creationId xmlns:a16="http://schemas.microsoft.com/office/drawing/2014/main" id="{B422A6EA-22A9-4880-A249-FBCD7121E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76200</xdr:colOff>
      <xdr:row>20</xdr:row>
      <xdr:rowOff>95250</xdr:rowOff>
    </xdr:from>
    <xdr:to>
      <xdr:col>24</xdr:col>
      <xdr:colOff>574006</xdr:colOff>
      <xdr:row>32</xdr:row>
      <xdr:rowOff>136602</xdr:rowOff>
    </xdr:to>
    <xdr:graphicFrame macro="">
      <xdr:nvGraphicFramePr>
        <xdr:cNvPr id="17" name="Chart 16">
          <a:extLst>
            <a:ext uri="{FF2B5EF4-FFF2-40B4-BE49-F238E27FC236}">
              <a16:creationId xmlns:a16="http://schemas.microsoft.com/office/drawing/2014/main" id="{B1079140-3E91-4672-B3CD-E521EECAF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485775</xdr:colOff>
      <xdr:row>1</xdr:row>
      <xdr:rowOff>104775</xdr:rowOff>
    </xdr:from>
    <xdr:to>
      <xdr:col>24</xdr:col>
      <xdr:colOff>485775</xdr:colOff>
      <xdr:row>6</xdr:row>
      <xdr:rowOff>2931</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C093498E-C02F-4537-B780-A4648970C5C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287375" y="723900"/>
              <a:ext cx="1828800" cy="850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152399</xdr:colOff>
      <xdr:row>25</xdr:row>
      <xdr:rowOff>76201</xdr:rowOff>
    </xdr:from>
    <xdr:to>
      <xdr:col>29</xdr:col>
      <xdr:colOff>47624</xdr:colOff>
      <xdr:row>32</xdr:row>
      <xdr:rowOff>57151</xdr:rowOff>
    </xdr:to>
    <mc:AlternateContent xmlns:mc="http://schemas.openxmlformats.org/markup-compatibility/2006">
      <mc:Choice xmlns:a14="http://schemas.microsoft.com/office/drawing/2010/main" Requires="a14">
        <xdr:graphicFrame macro="">
          <xdr:nvGraphicFramePr>
            <xdr:cNvPr id="19" name="Payment 1">
              <a:extLst>
                <a:ext uri="{FF2B5EF4-FFF2-40B4-BE49-F238E27FC236}">
                  <a16:creationId xmlns:a16="http://schemas.microsoft.com/office/drawing/2014/main" id="{03879CA4-C60C-4162-95B2-61E9C9057A4D}"/>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15392399" y="5267326"/>
              <a:ext cx="2333625"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152399</xdr:colOff>
      <xdr:row>18</xdr:row>
      <xdr:rowOff>66675</xdr:rowOff>
    </xdr:from>
    <xdr:to>
      <xdr:col>28</xdr:col>
      <xdr:colOff>600074</xdr:colOff>
      <xdr:row>24</xdr:row>
      <xdr:rowOff>166804</xdr:rowOff>
    </xdr:to>
    <mc:AlternateContent xmlns:mc="http://schemas.openxmlformats.org/markup-compatibility/2006">
      <mc:Choice xmlns:a14="http://schemas.microsoft.com/office/drawing/2010/main" Requires="a14">
        <xdr:graphicFrame macro="">
          <xdr:nvGraphicFramePr>
            <xdr:cNvPr id="20" name="City 1">
              <a:extLst>
                <a:ext uri="{FF2B5EF4-FFF2-40B4-BE49-F238E27FC236}">
                  <a16:creationId xmlns:a16="http://schemas.microsoft.com/office/drawing/2014/main" id="{F6201AA1-12A4-444E-837C-47BDBF9FE81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5392399" y="3924300"/>
              <a:ext cx="2276475" cy="1243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122285</xdr:colOff>
      <xdr:row>13</xdr:row>
      <xdr:rowOff>29102</xdr:rowOff>
    </xdr:from>
    <xdr:to>
      <xdr:col>28</xdr:col>
      <xdr:colOff>575395</xdr:colOff>
      <xdr:row>18</xdr:row>
      <xdr:rowOff>0</xdr:rowOff>
    </xdr:to>
    <mc:AlternateContent xmlns:mc="http://schemas.openxmlformats.org/markup-compatibility/2006">
      <mc:Choice xmlns:a14="http://schemas.microsoft.com/office/drawing/2010/main" Requires="a14">
        <xdr:graphicFrame macro="">
          <xdr:nvGraphicFramePr>
            <xdr:cNvPr id="21" name="Customer type 1">
              <a:extLst>
                <a:ext uri="{FF2B5EF4-FFF2-40B4-BE49-F238E27FC236}">
                  <a16:creationId xmlns:a16="http://schemas.microsoft.com/office/drawing/2014/main" id="{87D385C3-7EC5-4013-BEF0-EF0616B7EC0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15362285" y="2934227"/>
              <a:ext cx="2281910" cy="923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114300</xdr:colOff>
      <xdr:row>1</xdr:row>
      <xdr:rowOff>133350</xdr:rowOff>
    </xdr:from>
    <xdr:to>
      <xdr:col>28</xdr:col>
      <xdr:colOff>561975</xdr:colOff>
      <xdr:row>12</xdr:row>
      <xdr:rowOff>114299</xdr:rowOff>
    </xdr:to>
    <mc:AlternateContent xmlns:mc="http://schemas.openxmlformats.org/markup-compatibility/2006">
      <mc:Choice xmlns:a14="http://schemas.microsoft.com/office/drawing/2010/main" Requires="a14">
        <xdr:graphicFrame macro="">
          <xdr:nvGraphicFramePr>
            <xdr:cNvPr id="22" name="Product line 1">
              <a:extLst>
                <a:ext uri="{FF2B5EF4-FFF2-40B4-BE49-F238E27FC236}">
                  <a16:creationId xmlns:a16="http://schemas.microsoft.com/office/drawing/2014/main" id="{7842AE31-887F-4AA0-A9C3-4C619CED1B22}"/>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15354300" y="752475"/>
              <a:ext cx="2276475" cy="207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03.80164513889" createdVersion="8" refreshedVersion="8" minRefreshableVersion="3" recordCount="1000" xr:uid="{707F93B0-13BD-4105-B9CC-FB42017CE8CC}">
  <cacheSource type="worksheet">
    <worksheetSource name="Dashboa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76403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s v="01-05-2019"/>
    <d v="1899-12-30T13:08:00"/>
    <x v="0"/>
    <n v="522.83000000000004"/>
    <n v="4.7619047620000003"/>
    <n v="26.141500000000001"/>
    <n v="9.1"/>
  </r>
  <r>
    <s v="226-31-3081"/>
    <x v="1"/>
    <x v="1"/>
    <x v="1"/>
    <x v="0"/>
    <x v="1"/>
    <n v="15.28"/>
    <n v="5"/>
    <n v="3.82"/>
    <n v="80.22"/>
    <s v="03-08-2019"/>
    <d v="1899-12-30T10:29:00"/>
    <x v="1"/>
    <n v="76.400000000000006"/>
    <n v="4.7619047620000003"/>
    <n v="3.82"/>
    <n v="9.6"/>
  </r>
  <r>
    <s v="631-41-3108"/>
    <x v="0"/>
    <x v="0"/>
    <x v="1"/>
    <x v="1"/>
    <x v="2"/>
    <n v="46.33"/>
    <n v="7"/>
    <n v="16.215499999999999"/>
    <n v="340.52550000000002"/>
    <s v="03-03-2019"/>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s v="02-08-201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s v="01-10-201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s v="02-06-2019"/>
    <d v="1899-12-30T18:07:00"/>
    <x v="0"/>
    <n v="57.92"/>
    <n v="4.7619047620000003"/>
    <n v="2.8959999999999999"/>
    <n v="4.5"/>
  </r>
  <r>
    <s v="529-56-3974"/>
    <x v="2"/>
    <x v="2"/>
    <x v="0"/>
    <x v="1"/>
    <x v="1"/>
    <n v="25.51"/>
    <n v="4"/>
    <n v="5.1020000000000003"/>
    <n v="107.142"/>
    <s v="03-09-2019"/>
    <d v="1899-12-30T17:03:00"/>
    <x v="1"/>
    <n v="102.04"/>
    <n v="4.7619047620000003"/>
    <n v="5.1020000000000003"/>
    <n v="6.8"/>
  </r>
  <r>
    <s v="365-64-0515"/>
    <x v="0"/>
    <x v="0"/>
    <x v="1"/>
    <x v="0"/>
    <x v="1"/>
    <n v="46.95"/>
    <n v="5"/>
    <n v="11.737500000000001"/>
    <n v="246.48750000000001"/>
    <s v="02-12-2019"/>
    <d v="1899-12-30T10:25:00"/>
    <x v="0"/>
    <n v="234.75"/>
    <n v="4.7619047620000003"/>
    <n v="11.737500000000001"/>
    <n v="7.1"/>
  </r>
  <r>
    <s v="252-56-2699"/>
    <x v="0"/>
    <x v="0"/>
    <x v="1"/>
    <x v="1"/>
    <x v="4"/>
    <n v="43.19"/>
    <n v="10"/>
    <n v="21.594999999999999"/>
    <n v="453.495"/>
    <s v="02-07-2019"/>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s v="03-11-2019"/>
    <d v="1899-12-30T11:03:00"/>
    <x v="2"/>
    <n v="482.51"/>
    <n v="4.7619047620000003"/>
    <n v="24.125499999999999"/>
    <n v="4.5999999999999996"/>
  </r>
  <r>
    <s v="765-26-6951"/>
    <x v="0"/>
    <x v="0"/>
    <x v="1"/>
    <x v="1"/>
    <x v="3"/>
    <n v="72.61"/>
    <n v="6"/>
    <n v="21.783000000000001"/>
    <n v="457.44299999999998"/>
    <s v="01-01-2019"/>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s v="03-11-2019"/>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s v="03-05-2019"/>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s v="03-02-201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s v="02-08-2019"/>
    <d v="1899-12-30T15:31:00"/>
    <x v="1"/>
    <n v="33.520000000000003"/>
    <n v="4.7619047620000003"/>
    <n v="1.6759999999999999"/>
    <n v="6.7"/>
  </r>
  <r>
    <s v="189-17-4241"/>
    <x v="0"/>
    <x v="0"/>
    <x v="1"/>
    <x v="0"/>
    <x v="5"/>
    <n v="87.67"/>
    <n v="2"/>
    <n v="8.7669999999999995"/>
    <n v="184.107"/>
    <s v="03-10-2019"/>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s v="01-10-201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s v="02-06-2019"/>
    <d v="1899-12-30T10:42:00"/>
    <x v="0"/>
    <n v="397.68"/>
    <n v="4.7619047620000003"/>
    <n v="19.884"/>
    <n v="7.5"/>
  </r>
  <r>
    <s v="232-16-2483"/>
    <x v="1"/>
    <x v="1"/>
    <x v="0"/>
    <x v="0"/>
    <x v="3"/>
    <n v="68.12"/>
    <n v="1"/>
    <n v="3.4060000000000001"/>
    <n v="71.525999999999996"/>
    <s v="01-07-2019"/>
    <d v="1899-12-30T12:28:00"/>
    <x v="0"/>
    <n v="68.12"/>
    <n v="4.7619047620000003"/>
    <n v="3.4060000000000001"/>
    <n v="6.8"/>
  </r>
  <r>
    <s v="129-29-8530"/>
    <x v="0"/>
    <x v="0"/>
    <x v="0"/>
    <x v="1"/>
    <x v="3"/>
    <n v="62.62"/>
    <n v="5"/>
    <n v="15.654999999999999"/>
    <n v="328.755"/>
    <s v="03-10-2019"/>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s v="03-03-2019"/>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s v="02-02-2019"/>
    <d v="1899-12-30T10:11:00"/>
    <x v="1"/>
    <n v="112.22"/>
    <n v="4.7619047620000003"/>
    <n v="5.6109999999999998"/>
    <n v="6.3"/>
  </r>
  <r>
    <s v="354-25-5821"/>
    <x v="2"/>
    <x v="2"/>
    <x v="0"/>
    <x v="0"/>
    <x v="3"/>
    <n v="69.12"/>
    <n v="6"/>
    <n v="20.736000000000001"/>
    <n v="435.45600000000002"/>
    <s v="02-08-2019"/>
    <d v="1899-12-30T13:03:00"/>
    <x v="1"/>
    <n v="414.72"/>
    <n v="4.7619047620000003"/>
    <n v="20.736000000000001"/>
    <n v="5.6"/>
  </r>
  <r>
    <s v="228-96-1411"/>
    <x v="1"/>
    <x v="1"/>
    <x v="0"/>
    <x v="0"/>
    <x v="4"/>
    <n v="98.7"/>
    <n v="8"/>
    <n v="39.479999999999997"/>
    <n v="829.08"/>
    <s v="03-04-2019"/>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s v="03-09-2019"/>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s v="02-06-2019"/>
    <d v="1899-12-30T15:47:00"/>
    <x v="0"/>
    <n v="180.09"/>
    <n v="4.7619047620000003"/>
    <n v="9.0045000000000002"/>
    <n v="4.0999999999999996"/>
  </r>
  <r>
    <s v="669-54-1719"/>
    <x v="2"/>
    <x v="2"/>
    <x v="0"/>
    <x v="1"/>
    <x v="1"/>
    <n v="18.93"/>
    <n v="6"/>
    <n v="5.6790000000000003"/>
    <n v="119.259"/>
    <s v="02-10-2019"/>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s v="02-03-2019"/>
    <d v="1899-12-30T10:19:00"/>
    <x v="1"/>
    <n v="639.79999999999995"/>
    <n v="4.7619047620000003"/>
    <n v="31.99"/>
    <n v="9.5"/>
  </r>
  <r>
    <s v="162-48-8011"/>
    <x v="0"/>
    <x v="0"/>
    <x v="0"/>
    <x v="0"/>
    <x v="4"/>
    <n v="44.59"/>
    <n v="5"/>
    <n v="11.147500000000001"/>
    <n v="234.0975"/>
    <s v="02-10-2019"/>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s v="03-07-201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s v="02-07-2019"/>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s v="03-12-2019"/>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s v="02-03-2019"/>
    <d v="1899-12-30T13:40:00"/>
    <x v="0"/>
    <n v="495.63"/>
    <n v="4.7619047620000003"/>
    <n v="24.781500000000001"/>
    <n v="10"/>
  </r>
  <r>
    <s v="199-75-8169"/>
    <x v="0"/>
    <x v="0"/>
    <x v="0"/>
    <x v="1"/>
    <x v="3"/>
    <n v="15.81"/>
    <n v="10"/>
    <n v="7.9050000000000002"/>
    <n v="166.005"/>
    <s v="03-06-20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s v="02-10-2019"/>
    <d v="1899-12-30T15:43:00"/>
    <x v="0"/>
    <n v="66.94"/>
    <n v="4.7619047620000003"/>
    <n v="3.347"/>
    <n v="6.7"/>
  </r>
  <r>
    <s v="109-28-2512"/>
    <x v="2"/>
    <x v="2"/>
    <x v="0"/>
    <x v="0"/>
    <x v="5"/>
    <n v="97.61"/>
    <n v="6"/>
    <n v="29.283000000000001"/>
    <n v="614.94299999999998"/>
    <s v="01-07-2019"/>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s v="02-02-2019"/>
    <d v="1899-12-30T18:50:00"/>
    <x v="1"/>
    <n v="18.329999999999998"/>
    <n v="4.7619047620000003"/>
    <n v="0.91649999999999998"/>
    <n v="4.3"/>
  </r>
  <r>
    <s v="393-65-2792"/>
    <x v="1"/>
    <x v="1"/>
    <x v="1"/>
    <x v="1"/>
    <x v="4"/>
    <n v="89.48"/>
    <n v="10"/>
    <n v="44.74"/>
    <n v="939.54"/>
    <s v="01-06-2019"/>
    <d v="1899-12-30T12:46:00"/>
    <x v="2"/>
    <n v="894.8"/>
    <n v="4.7619047620000003"/>
    <n v="44.74"/>
    <n v="9.6"/>
  </r>
  <r>
    <s v="796-12-2025"/>
    <x v="1"/>
    <x v="1"/>
    <x v="1"/>
    <x v="1"/>
    <x v="5"/>
    <n v="62.12"/>
    <n v="10"/>
    <n v="31.06"/>
    <n v="652.26"/>
    <s v="02-11-2019"/>
    <d v="1899-12-30T16:19:00"/>
    <x v="1"/>
    <n v="621.20000000000005"/>
    <n v="4.7619047620000003"/>
    <n v="31.06"/>
    <n v="5.9"/>
  </r>
  <r>
    <s v="510-95-6347"/>
    <x v="2"/>
    <x v="2"/>
    <x v="0"/>
    <x v="0"/>
    <x v="4"/>
    <n v="48.52"/>
    <n v="3"/>
    <n v="7.2779999999999996"/>
    <n v="152.83799999999999"/>
    <s v="03-05-2019"/>
    <d v="1899-12-30T18:17:00"/>
    <x v="0"/>
    <n v="145.56"/>
    <n v="4.7619047620000003"/>
    <n v="7.2779999999999996"/>
    <n v="4"/>
  </r>
  <r>
    <s v="841-35-6630"/>
    <x v="1"/>
    <x v="1"/>
    <x v="1"/>
    <x v="0"/>
    <x v="1"/>
    <n v="75.91"/>
    <n v="6"/>
    <n v="22.773"/>
    <n v="478.233"/>
    <s v="03-09-2019"/>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s v="01-09-2019"/>
    <d v="1899-12-30T14:20:00"/>
    <x v="2"/>
    <n v="441.36"/>
    <n v="4.7619047620000003"/>
    <n v="22.068000000000001"/>
    <n v="8.6"/>
  </r>
  <r>
    <s v="381-20-0914"/>
    <x v="0"/>
    <x v="0"/>
    <x v="0"/>
    <x v="0"/>
    <x v="5"/>
    <n v="20.010000000000002"/>
    <n v="9"/>
    <n v="9.0045000000000002"/>
    <n v="189.09450000000001"/>
    <s v="01-12-2019"/>
    <d v="1899-12-30T15:48:00"/>
    <x v="2"/>
    <n v="180.09"/>
    <n v="4.7619047620000003"/>
    <n v="9.0045000000000002"/>
    <n v="5.7"/>
  </r>
  <r>
    <s v="829-49-1914"/>
    <x v="1"/>
    <x v="1"/>
    <x v="0"/>
    <x v="0"/>
    <x v="4"/>
    <n v="78.31"/>
    <n v="10"/>
    <n v="39.155000000000001"/>
    <n v="822.255"/>
    <s v="03-05-2019"/>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s v="03-09-2019"/>
    <d v="1899-12-30T10:17:00"/>
    <x v="1"/>
    <n v="244.55"/>
    <n v="4.7619047620000003"/>
    <n v="12.227499999999999"/>
    <n v="6.6"/>
  </r>
  <r>
    <s v="730-50-9884"/>
    <x v="1"/>
    <x v="1"/>
    <x v="1"/>
    <x v="0"/>
    <x v="3"/>
    <n v="83.06"/>
    <n v="7"/>
    <n v="29.071000000000002"/>
    <n v="610.49099999999999"/>
    <s v="03-05-2019"/>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s v="01-02-2019"/>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s v="01-10-2019"/>
    <d v="1899-12-30T16:42:00"/>
    <x v="0"/>
    <n v="153.86000000000001"/>
    <n v="4.7619047620000003"/>
    <n v="7.6929999999999996"/>
    <n v="5.0999999999999996"/>
  </r>
  <r>
    <s v="152-08-9985"/>
    <x v="2"/>
    <x v="2"/>
    <x v="0"/>
    <x v="1"/>
    <x v="0"/>
    <n v="64.36"/>
    <n v="9"/>
    <n v="28.962"/>
    <n v="608.202"/>
    <s v="03-12-2019"/>
    <d v="1899-12-30T12:09:00"/>
    <x v="2"/>
    <n v="579.24"/>
    <n v="4.7619047620000003"/>
    <n v="28.962"/>
    <n v="8.6"/>
  </r>
  <r>
    <s v="512-91-0811"/>
    <x v="1"/>
    <x v="1"/>
    <x v="1"/>
    <x v="1"/>
    <x v="0"/>
    <n v="89.75"/>
    <n v="1"/>
    <n v="4.4874999999999998"/>
    <n v="94.237499999999997"/>
    <s v="02-06-2019"/>
    <d v="1899-12-30T20:05:00"/>
    <x v="2"/>
    <n v="89.75"/>
    <n v="4.7619047620000003"/>
    <n v="4.4874999999999998"/>
    <n v="6.6"/>
  </r>
  <r>
    <s v="594-34-4444"/>
    <x v="0"/>
    <x v="0"/>
    <x v="1"/>
    <x v="1"/>
    <x v="1"/>
    <n v="97.16"/>
    <n v="1"/>
    <n v="4.8579999999999997"/>
    <n v="102.018"/>
    <s v="03-08-2019"/>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s v="02-09-2019"/>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s v="03-05-2019"/>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s v="03-01-2019"/>
    <d v="1899-12-30T13:22:00"/>
    <x v="1"/>
    <n v="706.95"/>
    <n v="4.7619047620000003"/>
    <n v="35.347499999999997"/>
    <n v="7.2"/>
  </r>
  <r>
    <s v="551-21-3069"/>
    <x v="1"/>
    <x v="1"/>
    <x v="1"/>
    <x v="0"/>
    <x v="1"/>
    <n v="23.07"/>
    <n v="9"/>
    <n v="10.381500000000001"/>
    <n v="218.01150000000001"/>
    <s v="02-01-2019"/>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s v="01-12-2019"/>
    <d v="1899-12-30T14:50:00"/>
    <x v="0"/>
    <n v="886.7"/>
    <n v="4.7619047620000003"/>
    <n v="44.335000000000001"/>
    <n v="7.3"/>
  </r>
  <r>
    <s v="628-34-3388"/>
    <x v="1"/>
    <x v="1"/>
    <x v="1"/>
    <x v="1"/>
    <x v="5"/>
    <n v="27.38"/>
    <n v="6"/>
    <n v="8.2140000000000004"/>
    <n v="172.494"/>
    <s v="01-05-2019"/>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s v="03-03-2019"/>
    <d v="1899-12-30T14:30:00"/>
    <x v="1"/>
    <n v="819.7"/>
    <n v="4.7619047620000003"/>
    <n v="40.984999999999999"/>
    <n v="9.1999999999999993"/>
  </r>
  <r>
    <s v="479-26-8945"/>
    <x v="2"/>
    <x v="2"/>
    <x v="0"/>
    <x v="0"/>
    <x v="3"/>
    <n v="16.489999999999998"/>
    <n v="2"/>
    <n v="1.649"/>
    <n v="34.628999999999998"/>
    <s v="02-05-2019"/>
    <d v="1899-12-30T11:32:00"/>
    <x v="0"/>
    <n v="32.979999999999997"/>
    <n v="4.7619047620000003"/>
    <n v="1.649"/>
    <n v="4.5999999999999996"/>
  </r>
  <r>
    <s v="210-67-5886"/>
    <x v="1"/>
    <x v="1"/>
    <x v="0"/>
    <x v="0"/>
    <x v="0"/>
    <n v="98.21"/>
    <n v="3"/>
    <n v="14.7315"/>
    <n v="309.36149999999998"/>
    <s v="02-05-2019"/>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s v="02-01-2019"/>
    <d v="1899-12-30T20:31:00"/>
    <x v="2"/>
    <n v="727.11"/>
    <n v="4.7619047620000003"/>
    <n v="36.355499999999999"/>
    <n v="9.5"/>
  </r>
  <r>
    <s v="225-98-1496"/>
    <x v="1"/>
    <x v="1"/>
    <x v="1"/>
    <x v="0"/>
    <x v="5"/>
    <n v="27.02"/>
    <n v="3"/>
    <n v="4.0529999999999999"/>
    <n v="85.113"/>
    <s v="03-02-2019"/>
    <d v="1899-12-30T13:01:00"/>
    <x v="2"/>
    <n v="81.06"/>
    <n v="4.7619047620000003"/>
    <n v="4.0529999999999999"/>
    <n v="7.1"/>
  </r>
  <r>
    <s v="291-32-1427"/>
    <x v="2"/>
    <x v="2"/>
    <x v="0"/>
    <x v="1"/>
    <x v="5"/>
    <n v="21.94"/>
    <n v="5"/>
    <n v="5.4850000000000003"/>
    <n v="115.185"/>
    <s v="03-05-2019"/>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s v="02-02-2019"/>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s v="01-12-2019"/>
    <d v="1899-12-30T12:02:00"/>
    <x v="2"/>
    <n v="399.84"/>
    <n v="4.7619047620000003"/>
    <n v="19.992000000000001"/>
    <n v="6.5"/>
  </r>
  <r>
    <s v="219-22-9386"/>
    <x v="2"/>
    <x v="2"/>
    <x v="0"/>
    <x v="1"/>
    <x v="3"/>
    <n v="99.96"/>
    <n v="9"/>
    <n v="44.981999999999999"/>
    <n v="944.62199999999996"/>
    <s v="03-09-2019"/>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s v="03-09-2019"/>
    <d v="1899-12-30T14:57:00"/>
    <x v="0"/>
    <n v="451.76"/>
    <n v="4.7619047620000003"/>
    <n v="22.588000000000001"/>
    <n v="7.3"/>
  </r>
  <r>
    <s v="668-90-8900"/>
    <x v="0"/>
    <x v="0"/>
    <x v="1"/>
    <x v="0"/>
    <x v="2"/>
    <n v="93.69"/>
    <n v="7"/>
    <n v="32.791499999999999"/>
    <n v="688.62149999999997"/>
    <s v="03-10-2019"/>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s v="01-08-2019"/>
    <d v="1899-12-30T16:17:00"/>
    <x v="2"/>
    <n v="285.57"/>
    <n v="4.7619047620000003"/>
    <n v="14.278499999999999"/>
    <n v="5.9"/>
  </r>
  <r>
    <s v="663-86-9076"/>
    <x v="1"/>
    <x v="1"/>
    <x v="0"/>
    <x v="0"/>
    <x v="4"/>
    <n v="68.540000000000006"/>
    <n v="8"/>
    <n v="27.416"/>
    <n v="575.73599999999999"/>
    <s v="01-08-2019"/>
    <d v="1899-12-30T15:57:00"/>
    <x v="0"/>
    <n v="548.32000000000005"/>
    <n v="4.7619047620000003"/>
    <n v="27.416"/>
    <n v="8.5"/>
  </r>
  <r>
    <s v="549-84-7482"/>
    <x v="2"/>
    <x v="2"/>
    <x v="1"/>
    <x v="0"/>
    <x v="3"/>
    <n v="90.28"/>
    <n v="9"/>
    <n v="40.625999999999998"/>
    <n v="853.14599999999996"/>
    <s v="02-08-201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s v="03-06-2019"/>
    <d v="1899-12-30T20:34:00"/>
    <x v="1"/>
    <n v="552.78"/>
    <n v="4.7619047620000003"/>
    <n v="27.638999999999999"/>
    <n v="8.3000000000000007"/>
  </r>
  <r>
    <s v="695-51-0018"/>
    <x v="2"/>
    <x v="2"/>
    <x v="1"/>
    <x v="0"/>
    <x v="3"/>
    <n v="34.840000000000003"/>
    <n v="4"/>
    <n v="6.968"/>
    <n v="146.328"/>
    <s v="02-10-2019"/>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s v="03-08-2019"/>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s v="02-05-2019"/>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s v="03-08-2019"/>
    <d v="1899-12-30T17:11:00"/>
    <x v="2"/>
    <n v="277.56"/>
    <n v="4.7619047620000003"/>
    <n v="13.878"/>
    <n v="9.5"/>
  </r>
  <r>
    <s v="685-64-1609"/>
    <x v="0"/>
    <x v="0"/>
    <x v="0"/>
    <x v="0"/>
    <x v="5"/>
    <n v="30.14"/>
    <n v="10"/>
    <n v="15.07"/>
    <n v="316.47000000000003"/>
    <s v="02-10-2019"/>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s v="03-06-20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s v="03-11-2019"/>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s v="02-07-2019"/>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s v="01-04-2019"/>
    <d v="1899-12-30T19:40:00"/>
    <x v="1"/>
    <n v="72.17"/>
    <n v="4.7619047620000003"/>
    <n v="3.6084999999999998"/>
    <n v="6.1"/>
  </r>
  <r>
    <s v="307-85-2293"/>
    <x v="2"/>
    <x v="2"/>
    <x v="1"/>
    <x v="1"/>
    <x v="2"/>
    <n v="50.28"/>
    <n v="5"/>
    <n v="12.57"/>
    <n v="263.97000000000003"/>
    <s v="03-07-201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s v="02-08-201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s v="02-01-2019"/>
    <d v="1899-12-30T15:10:00"/>
    <x v="2"/>
    <n v="486.64"/>
    <n v="4.7619047620000003"/>
    <n v="24.332000000000001"/>
    <n v="8.5"/>
  </r>
  <r>
    <s v="249-42-3782"/>
    <x v="0"/>
    <x v="0"/>
    <x v="1"/>
    <x v="1"/>
    <x v="0"/>
    <n v="70.010000000000005"/>
    <n v="5"/>
    <n v="17.502500000000001"/>
    <n v="367.55250000000001"/>
    <s v="01-03-2019"/>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s v="03-03-2019"/>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s v="03-03-2019"/>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s v="02-09-2019"/>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s v="03-04-2019"/>
    <d v="1899-12-30T11:19:00"/>
    <x v="2"/>
    <n v="86.38"/>
    <n v="4.7619047620000003"/>
    <n v="4.319"/>
    <n v="6.7"/>
  </r>
  <r>
    <s v="895-66-0685"/>
    <x v="2"/>
    <x v="2"/>
    <x v="0"/>
    <x v="1"/>
    <x v="4"/>
    <n v="18.079999999999998"/>
    <n v="3"/>
    <n v="2.7120000000000002"/>
    <n v="56.951999999999998"/>
    <s v="03-05-2019"/>
    <d v="1899-12-30T19:46:00"/>
    <x v="0"/>
    <n v="54.24"/>
    <n v="4.7619047620000003"/>
    <n v="2.7120000000000002"/>
    <n v="8"/>
  </r>
  <r>
    <s v="305-14-0245"/>
    <x v="2"/>
    <x v="2"/>
    <x v="0"/>
    <x v="0"/>
    <x v="2"/>
    <n v="94.49"/>
    <n v="8"/>
    <n v="37.795999999999999"/>
    <n v="793.71600000000001"/>
    <s v="03-03-2019"/>
    <d v="1899-12-30T19:00:00"/>
    <x v="0"/>
    <n v="755.92"/>
    <n v="4.7619047620000003"/>
    <n v="37.795999999999999"/>
    <n v="7.5"/>
  </r>
  <r>
    <s v="732-04-5373"/>
    <x v="2"/>
    <x v="2"/>
    <x v="0"/>
    <x v="1"/>
    <x v="2"/>
    <n v="46.47"/>
    <n v="4"/>
    <n v="9.2940000000000005"/>
    <n v="195.17400000000001"/>
    <s v="02-08-2019"/>
    <d v="1899-12-30T10:53:00"/>
    <x v="1"/>
    <n v="185.88"/>
    <n v="4.7619047620000003"/>
    <n v="9.2940000000000005"/>
    <n v="7"/>
  </r>
  <r>
    <s v="400-60-7251"/>
    <x v="0"/>
    <x v="0"/>
    <x v="1"/>
    <x v="1"/>
    <x v="2"/>
    <n v="74.069999999999993"/>
    <n v="1"/>
    <n v="3.7035"/>
    <n v="77.773499999999999"/>
    <s v="02-10-2019"/>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s v="02-11-2019"/>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s v="03-12-2019"/>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s v="02-06-2019"/>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s v="01-03-2019"/>
    <d v="1899-12-30T12:02:00"/>
    <x v="0"/>
    <n v="207.27"/>
    <n v="4.7619047620000003"/>
    <n v="10.3635"/>
    <n v="7.9"/>
  </r>
  <r>
    <s v="672-51-8681"/>
    <x v="1"/>
    <x v="1"/>
    <x v="0"/>
    <x v="0"/>
    <x v="1"/>
    <n v="66.650000000000006"/>
    <n v="9"/>
    <n v="29.9925"/>
    <n v="629.84249999999997"/>
    <s v="01-04-2019"/>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s v="03-02-201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s v="01-04-2019"/>
    <d v="1899-12-30T13:24:00"/>
    <x v="2"/>
    <n v="139.26"/>
    <n v="4.7619047620000003"/>
    <n v="6.9630000000000001"/>
    <n v="4.4000000000000004"/>
  </r>
  <r>
    <s v="891-58-8335"/>
    <x v="2"/>
    <x v="2"/>
    <x v="0"/>
    <x v="0"/>
    <x v="3"/>
    <n v="29.61"/>
    <n v="7"/>
    <n v="10.3635"/>
    <n v="217.6335"/>
    <s v="03-11-2019"/>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s v="02-12-2019"/>
    <d v="1899-12-30T12:58:00"/>
    <x v="0"/>
    <n v="758.96"/>
    <n v="4.7619047620000003"/>
    <n v="37.948"/>
    <n v="8.6999999999999993"/>
  </r>
  <r>
    <s v="790-29-1172"/>
    <x v="2"/>
    <x v="2"/>
    <x v="1"/>
    <x v="0"/>
    <x v="4"/>
    <n v="57.34"/>
    <n v="3"/>
    <n v="8.6010000000000009"/>
    <n v="180.62100000000001"/>
    <s v="03-10-2019"/>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s v="03-06-20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s v="01-11-2019"/>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s v="03-11-2019"/>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s v="03-12-2019"/>
    <d v="1899-12-30T13:52:00"/>
    <x v="2"/>
    <n v="31.77"/>
    <n v="4.7619047620000003"/>
    <n v="1.5885"/>
    <n v="8.6999999999999993"/>
  </r>
  <r>
    <s v="418-02-5978"/>
    <x v="2"/>
    <x v="2"/>
    <x v="1"/>
    <x v="0"/>
    <x v="0"/>
    <n v="84.09"/>
    <n v="9"/>
    <n v="37.840499999999999"/>
    <n v="794.65049999999997"/>
    <s v="02-11-2019"/>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s v="03-09-2019"/>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s v="03-05-2019"/>
    <d v="1899-12-30T17:07:00"/>
    <x v="2"/>
    <n v="221.1"/>
    <n v="4.7619047620000003"/>
    <n v="11.055"/>
    <n v="8.6"/>
  </r>
  <r>
    <s v="346-84-3103"/>
    <x v="2"/>
    <x v="2"/>
    <x v="0"/>
    <x v="0"/>
    <x v="1"/>
    <n v="13.22"/>
    <n v="5"/>
    <n v="3.3050000000000002"/>
    <n v="69.405000000000001"/>
    <s v="03-02-2019"/>
    <d v="1899-12-30T19:26:00"/>
    <x v="1"/>
    <n v="66.099999999999994"/>
    <n v="4.7619047620000003"/>
    <n v="3.3050000000000002"/>
    <n v="4.3"/>
  </r>
  <r>
    <s v="478-06-7835"/>
    <x v="0"/>
    <x v="0"/>
    <x v="1"/>
    <x v="1"/>
    <x v="5"/>
    <n v="89.69"/>
    <n v="1"/>
    <n v="4.4844999999999997"/>
    <n v="94.174499999999995"/>
    <s v="01-11-2019"/>
    <d v="1899-12-30T11:20:00"/>
    <x v="0"/>
    <n v="89.69"/>
    <n v="4.7619047620000003"/>
    <n v="4.4844999999999997"/>
    <n v="4.9000000000000004"/>
  </r>
  <r>
    <s v="540-11-4336"/>
    <x v="0"/>
    <x v="0"/>
    <x v="1"/>
    <x v="1"/>
    <x v="4"/>
    <n v="24.94"/>
    <n v="9"/>
    <n v="11.223000000000001"/>
    <n v="235.68299999999999"/>
    <s v="01-11-2019"/>
    <d v="1899-12-30T16:49:00"/>
    <x v="2"/>
    <n v="224.46"/>
    <n v="4.7619047620000003"/>
    <n v="11.223000000000001"/>
    <n v="5.6"/>
  </r>
  <r>
    <s v="448-81-5016"/>
    <x v="0"/>
    <x v="0"/>
    <x v="1"/>
    <x v="1"/>
    <x v="0"/>
    <n v="59.77"/>
    <n v="2"/>
    <n v="5.9770000000000003"/>
    <n v="125.517"/>
    <s v="03-11-2019"/>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s v="01-05-2019"/>
    <d v="1899-12-30T11:25:00"/>
    <x v="1"/>
    <n v="250.6"/>
    <n v="4.7619047620000003"/>
    <n v="12.53"/>
    <n v="4.2"/>
  </r>
  <r>
    <s v="376-02-8238"/>
    <x v="2"/>
    <x v="2"/>
    <x v="1"/>
    <x v="1"/>
    <x v="2"/>
    <n v="93.87"/>
    <n v="8"/>
    <n v="37.548000000000002"/>
    <n v="788.50800000000004"/>
    <s v="02-02-2019"/>
    <d v="1899-12-30T18:42:00"/>
    <x v="2"/>
    <n v="750.96"/>
    <n v="4.7619047620000003"/>
    <n v="37.548000000000002"/>
    <n v="8.3000000000000007"/>
  </r>
  <r>
    <s v="530-90-9855"/>
    <x v="0"/>
    <x v="0"/>
    <x v="0"/>
    <x v="1"/>
    <x v="2"/>
    <n v="47.59"/>
    <n v="8"/>
    <n v="19.036000000000001"/>
    <n v="399.75599999999997"/>
    <s v="01-01-2019"/>
    <d v="1899-12-30T14:47:00"/>
    <x v="1"/>
    <n v="380.72"/>
    <n v="4.7619047620000003"/>
    <n v="19.036000000000001"/>
    <n v="5.7"/>
  </r>
  <r>
    <s v="866-05-7563"/>
    <x v="2"/>
    <x v="2"/>
    <x v="0"/>
    <x v="0"/>
    <x v="1"/>
    <n v="81.400000000000006"/>
    <n v="3"/>
    <n v="12.21"/>
    <n v="256.41000000000003"/>
    <s v="02-09-2019"/>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s v="01-07-2019"/>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s v="02-02-2019"/>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s v="03-02-201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s v="01-06-2019"/>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s v="02-05-2019"/>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s v="02-07-2019"/>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s v="03-07-201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s v="02-09-2019"/>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s v="03-12-2019"/>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s v="01-08-2019"/>
    <d v="1899-12-30T20:55:00"/>
    <x v="1"/>
    <n v="746"/>
    <n v="4.7619047620000003"/>
    <n v="37.299999999999997"/>
    <n v="9.5"/>
  </r>
  <r>
    <s v="144-51-6085"/>
    <x v="0"/>
    <x v="0"/>
    <x v="0"/>
    <x v="1"/>
    <x v="2"/>
    <n v="70.739999999999995"/>
    <n v="4"/>
    <n v="14.148"/>
    <n v="297.108"/>
    <s v="01-05-2019"/>
    <d v="1899-12-30T16:05:00"/>
    <x v="2"/>
    <n v="282.95999999999998"/>
    <n v="4.7619047620000003"/>
    <n v="14.148"/>
    <n v="4.4000000000000004"/>
  </r>
  <r>
    <s v="731-14-2199"/>
    <x v="0"/>
    <x v="0"/>
    <x v="0"/>
    <x v="0"/>
    <x v="2"/>
    <n v="35.54"/>
    <n v="10"/>
    <n v="17.77"/>
    <n v="373.17"/>
    <s v="01-04-2019"/>
    <d v="1899-12-30T13:34:00"/>
    <x v="0"/>
    <n v="355.4"/>
    <n v="4.7619047620000003"/>
    <n v="17.77"/>
    <n v="7"/>
  </r>
  <r>
    <s v="783-09-1637"/>
    <x v="2"/>
    <x v="2"/>
    <x v="1"/>
    <x v="0"/>
    <x v="3"/>
    <n v="67.430000000000007"/>
    <n v="5"/>
    <n v="16.857500000000002"/>
    <n v="354.00749999999999"/>
    <s v="03-06-2019"/>
    <d v="1899-12-30T18:13:00"/>
    <x v="0"/>
    <n v="337.15"/>
    <n v="4.7619047620000003"/>
    <n v="16.857500000000002"/>
    <n v="6.3"/>
  </r>
  <r>
    <s v="687-15-1097"/>
    <x v="1"/>
    <x v="1"/>
    <x v="0"/>
    <x v="0"/>
    <x v="0"/>
    <n v="21.12"/>
    <n v="2"/>
    <n v="2.1120000000000001"/>
    <n v="44.351999999999997"/>
    <s v="01-03-2019"/>
    <d v="1899-12-30T19:17:00"/>
    <x v="1"/>
    <n v="42.24"/>
    <n v="4.7619047620000003"/>
    <n v="2.1120000000000001"/>
    <n v="9.6999999999999993"/>
  </r>
  <r>
    <s v="126-54-1082"/>
    <x v="0"/>
    <x v="0"/>
    <x v="0"/>
    <x v="0"/>
    <x v="2"/>
    <n v="21.54"/>
    <n v="9"/>
    <n v="9.6929999999999996"/>
    <n v="203.553"/>
    <s v="01-07-2019"/>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s v="01-07-2019"/>
    <d v="1899-12-30T20:52:00"/>
    <x v="1"/>
    <n v="335.79"/>
    <n v="4.7619047620000003"/>
    <n v="16.7895"/>
    <n v="6.2"/>
  </r>
  <r>
    <s v="526-86-8552"/>
    <x v="1"/>
    <x v="1"/>
    <x v="0"/>
    <x v="0"/>
    <x v="2"/>
    <n v="21.82"/>
    <n v="10"/>
    <n v="10.91"/>
    <n v="229.11"/>
    <s v="01-07-2019"/>
    <d v="1899-12-30T17:36:00"/>
    <x v="1"/>
    <n v="218.2"/>
    <n v="4.7619047620000003"/>
    <n v="10.91"/>
    <n v="7.1"/>
  </r>
  <r>
    <s v="376-56-3573"/>
    <x v="1"/>
    <x v="1"/>
    <x v="1"/>
    <x v="0"/>
    <x v="5"/>
    <n v="95.42"/>
    <n v="4"/>
    <n v="19.084"/>
    <n v="400.76400000000001"/>
    <s v="02-02-2019"/>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s v="03-06-2019"/>
    <d v="1899-12-30T13:29:00"/>
    <x v="2"/>
    <n v="37"/>
    <n v="4.7619047620000003"/>
    <n v="1.85"/>
    <n v="7.9"/>
  </r>
  <r>
    <s v="490-29-1201"/>
    <x v="0"/>
    <x v="0"/>
    <x v="1"/>
    <x v="0"/>
    <x v="3"/>
    <n v="15.34"/>
    <n v="1"/>
    <n v="0.76700000000000002"/>
    <n v="16.106999999999999"/>
    <s v="01-06-2019"/>
    <d v="1899-12-30T11:09:00"/>
    <x v="1"/>
    <n v="15.34"/>
    <n v="4.7619047620000003"/>
    <n v="0.76700000000000002"/>
    <n v="6.5"/>
  </r>
  <r>
    <s v="667-92-0055"/>
    <x v="0"/>
    <x v="0"/>
    <x v="0"/>
    <x v="1"/>
    <x v="0"/>
    <n v="99.83"/>
    <n v="6"/>
    <n v="29.949000000000002"/>
    <n v="628.92899999999997"/>
    <s v="03-04-2019"/>
    <d v="1899-12-30T15:02:00"/>
    <x v="0"/>
    <n v="598.98"/>
    <n v="4.7619047620000003"/>
    <n v="29.949000000000002"/>
    <n v="8.5"/>
  </r>
  <r>
    <s v="565-17-3836"/>
    <x v="0"/>
    <x v="0"/>
    <x v="0"/>
    <x v="0"/>
    <x v="0"/>
    <n v="47.67"/>
    <n v="4"/>
    <n v="9.5340000000000007"/>
    <n v="200.214"/>
    <s v="03-12-2019"/>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s v="02-03-2019"/>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s v="03-03-2019"/>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s v="01-10-201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s v="01-02-2019"/>
    <d v="1899-12-30T18:09:00"/>
    <x v="2"/>
    <n v="199.64"/>
    <n v="4.7619047620000003"/>
    <n v="9.9819999999999993"/>
    <n v="6.7"/>
  </r>
  <r>
    <s v="573-10-3877"/>
    <x v="2"/>
    <x v="2"/>
    <x v="0"/>
    <x v="1"/>
    <x v="0"/>
    <n v="39.01"/>
    <n v="1"/>
    <n v="1.9504999999999999"/>
    <n v="40.960500000000003"/>
    <s v="03-12-2019"/>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s v="03-05-2019"/>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s v="02-05-2019"/>
    <d v="1899-12-30T19:05:00"/>
    <x v="0"/>
    <n v="138.66"/>
    <n v="4.7619047620000003"/>
    <n v="6.9329999999999998"/>
    <n v="9.6999999999999993"/>
  </r>
  <r>
    <s v="870-76-1733"/>
    <x v="0"/>
    <x v="0"/>
    <x v="0"/>
    <x v="0"/>
    <x v="4"/>
    <n v="14.23"/>
    <n v="5"/>
    <n v="3.5575000000000001"/>
    <n v="74.707499999999996"/>
    <s v="02-01-2019"/>
    <d v="1899-12-30T10:08:00"/>
    <x v="2"/>
    <n v="71.150000000000006"/>
    <n v="4.7619047620000003"/>
    <n v="3.5575000000000001"/>
    <n v="4.4000000000000004"/>
  </r>
  <r>
    <s v="423-64-4619"/>
    <x v="0"/>
    <x v="0"/>
    <x v="0"/>
    <x v="0"/>
    <x v="0"/>
    <n v="15.55"/>
    <n v="9"/>
    <n v="6.9974999999999996"/>
    <n v="146.94749999999999"/>
    <s v="03-07-2019"/>
    <d v="1899-12-30T13:12:00"/>
    <x v="1"/>
    <n v="139.94999999999999"/>
    <n v="4.7619047620000003"/>
    <n v="6.9974999999999996"/>
    <n v="5"/>
  </r>
  <r>
    <s v="227-07-4446"/>
    <x v="1"/>
    <x v="1"/>
    <x v="0"/>
    <x v="0"/>
    <x v="1"/>
    <n v="78.13"/>
    <n v="10"/>
    <n v="39.064999999999998"/>
    <n v="820.36500000000001"/>
    <s v="02-10-2019"/>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s v="02-09-2019"/>
    <d v="1899-12-30T10:25:00"/>
    <x v="1"/>
    <n v="63.24"/>
    <n v="4.7619047620000003"/>
    <n v="3.1619999999999999"/>
    <n v="7.3"/>
  </r>
  <r>
    <s v="603-07-0961"/>
    <x v="1"/>
    <x v="1"/>
    <x v="0"/>
    <x v="1"/>
    <x v="1"/>
    <n v="74.790000000000006"/>
    <n v="5"/>
    <n v="18.697500000000002"/>
    <n v="392.64749999999998"/>
    <s v="01-10-2019"/>
    <d v="1899-12-30T11:34:00"/>
    <x v="1"/>
    <n v="373.95"/>
    <n v="4.7619047620000003"/>
    <n v="18.697500000000002"/>
    <n v="4.9000000000000004"/>
  </r>
  <r>
    <s v="704-20-4138"/>
    <x v="1"/>
    <x v="1"/>
    <x v="0"/>
    <x v="0"/>
    <x v="0"/>
    <n v="29.67"/>
    <n v="7"/>
    <n v="10.384499999999999"/>
    <n v="218.0745"/>
    <s v="03-11-2019"/>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s v="03-08-2019"/>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s v="03-12-2019"/>
    <d v="1899-12-30T19:53:00"/>
    <x v="0"/>
    <n v="390.96"/>
    <n v="4.7619047620000003"/>
    <n v="19.547999999999998"/>
    <n v="6.4"/>
  </r>
  <r>
    <s v="815-11-1168"/>
    <x v="0"/>
    <x v="0"/>
    <x v="0"/>
    <x v="1"/>
    <x v="4"/>
    <n v="99.78"/>
    <n v="5"/>
    <n v="24.945"/>
    <n v="523.84500000000003"/>
    <s v="03-09-2019"/>
    <d v="1899-12-30T19:09:00"/>
    <x v="1"/>
    <n v="498.9"/>
    <n v="4.7619047620000003"/>
    <n v="24.945"/>
    <n v="5.4"/>
  </r>
  <r>
    <s v="719-76-3868"/>
    <x v="1"/>
    <x v="1"/>
    <x v="0"/>
    <x v="1"/>
    <x v="4"/>
    <n v="94.26"/>
    <n v="4"/>
    <n v="18.852"/>
    <n v="395.892"/>
    <s v="03-12-2019"/>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s v="02-07-2019"/>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s v="02-03-2019"/>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s v="02-05-2019"/>
    <d v="1899-12-30T15:26:00"/>
    <x v="2"/>
    <n v="385.38"/>
    <n v="4.7619047620000003"/>
    <n v="19.268999999999998"/>
    <n v="8.9"/>
  </r>
  <r>
    <s v="378-07-7001"/>
    <x v="2"/>
    <x v="2"/>
    <x v="0"/>
    <x v="1"/>
    <x v="1"/>
    <n v="48.09"/>
    <n v="3"/>
    <n v="7.2134999999999998"/>
    <n v="151.48349999999999"/>
    <s v="02-10-2019"/>
    <d v="1899-12-30T18:23:00"/>
    <x v="2"/>
    <n v="144.27000000000001"/>
    <n v="4.7619047620000003"/>
    <n v="7.2134999999999998"/>
    <n v="7.8"/>
  </r>
  <r>
    <s v="433-75-6987"/>
    <x v="2"/>
    <x v="2"/>
    <x v="0"/>
    <x v="0"/>
    <x v="0"/>
    <n v="55.97"/>
    <n v="7"/>
    <n v="19.589500000000001"/>
    <n v="411.37950000000001"/>
    <s v="03-05-2019"/>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s v="02-04-2019"/>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s v="03-02-2019"/>
    <d v="1899-12-30T14:16:00"/>
    <x v="1"/>
    <n v="243"/>
    <n v="4.7619047620000003"/>
    <n v="12.15"/>
    <n v="4.8"/>
  </r>
  <r>
    <s v="320-49-6392"/>
    <x v="1"/>
    <x v="1"/>
    <x v="1"/>
    <x v="0"/>
    <x v="1"/>
    <n v="30.24"/>
    <n v="1"/>
    <n v="1.512"/>
    <n v="31.751999999999999"/>
    <s v="03-04-2019"/>
    <d v="1899-12-30T15:44:00"/>
    <x v="1"/>
    <n v="30.24"/>
    <n v="4.7619047620000003"/>
    <n v="1.512"/>
    <n v="8.4"/>
  </r>
  <r>
    <s v="889-04-9723"/>
    <x v="2"/>
    <x v="2"/>
    <x v="0"/>
    <x v="0"/>
    <x v="4"/>
    <n v="89.14"/>
    <n v="4"/>
    <n v="17.827999999999999"/>
    <n v="374.38799999999998"/>
    <s v="01-07-2019"/>
    <d v="1899-12-30T12:20:00"/>
    <x v="2"/>
    <n v="356.56"/>
    <n v="4.7619047620000003"/>
    <n v="17.827999999999999"/>
    <n v="7.8"/>
  </r>
  <r>
    <s v="632-90-0281"/>
    <x v="1"/>
    <x v="1"/>
    <x v="1"/>
    <x v="0"/>
    <x v="5"/>
    <n v="37.549999999999997"/>
    <n v="10"/>
    <n v="18.774999999999999"/>
    <n v="394.27499999999998"/>
    <s v="03-08-2019"/>
    <d v="1899-12-30T20:01:00"/>
    <x v="2"/>
    <n v="375.5"/>
    <n v="4.7619047620000003"/>
    <n v="18.774999999999999"/>
    <n v="9.3000000000000007"/>
  </r>
  <r>
    <s v="554-42-2417"/>
    <x v="1"/>
    <x v="1"/>
    <x v="1"/>
    <x v="0"/>
    <x v="3"/>
    <n v="95.44"/>
    <n v="10"/>
    <n v="47.72"/>
    <n v="1002.12"/>
    <s v="01-09-2019"/>
    <d v="1899-12-30T13:45:00"/>
    <x v="1"/>
    <n v="954.4"/>
    <n v="4.7619047620000003"/>
    <n v="47.72"/>
    <n v="5.2"/>
  </r>
  <r>
    <s v="453-63-6187"/>
    <x v="2"/>
    <x v="2"/>
    <x v="1"/>
    <x v="1"/>
    <x v="1"/>
    <n v="27.5"/>
    <n v="3"/>
    <n v="4.125"/>
    <n v="86.625"/>
    <s v="03-01-2019"/>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s v="03-07-201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s v="01-06-2019"/>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s v="03-06-2019"/>
    <d v="1899-12-30T12:46:00"/>
    <x v="2"/>
    <n v="193.5"/>
    <n v="4.7619047620000003"/>
    <n v="9.6750000000000007"/>
    <n v="7.8"/>
  </r>
  <r>
    <s v="201-86-2184"/>
    <x v="2"/>
    <x v="2"/>
    <x v="0"/>
    <x v="0"/>
    <x v="1"/>
    <n v="26.26"/>
    <n v="7"/>
    <n v="9.1910000000000007"/>
    <n v="193.011"/>
    <s v="02-02-2019"/>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s v="01-03-2019"/>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s v="01-05-2019"/>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s v="02-06-2019"/>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s v="01-11-2019"/>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s v="03-01-2019"/>
    <d v="1899-12-30T15:32:00"/>
    <x v="0"/>
    <n v="299.56"/>
    <n v="4.7619047620000003"/>
    <n v="14.978"/>
    <n v="4.2"/>
  </r>
  <r>
    <s v="662-72-2873"/>
    <x v="0"/>
    <x v="0"/>
    <x v="1"/>
    <x v="0"/>
    <x v="4"/>
    <n v="40.94"/>
    <n v="5"/>
    <n v="10.234999999999999"/>
    <n v="214.935"/>
    <s v="01-06-2019"/>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s v="03-11-2019"/>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s v="03-10-2019"/>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s v="03-09-2019"/>
    <d v="1899-12-30T12:45:00"/>
    <x v="2"/>
    <n v="522.6"/>
    <n v="4.7619047620000003"/>
    <n v="26.13"/>
    <n v="6.2"/>
  </r>
  <r>
    <s v="885-17-6250"/>
    <x v="0"/>
    <x v="0"/>
    <x v="1"/>
    <x v="0"/>
    <x v="0"/>
    <n v="79.739999999999995"/>
    <n v="1"/>
    <n v="3.9870000000000001"/>
    <n v="83.727000000000004"/>
    <s v="03-06-20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s v="03-05-2019"/>
    <d v="1899-12-30T13:30:00"/>
    <x v="2"/>
    <n v="246.36"/>
    <n v="4.7619047620000003"/>
    <n v="12.318"/>
    <n v="8.3000000000000007"/>
  </r>
  <r>
    <s v="346-12-3257"/>
    <x v="2"/>
    <x v="2"/>
    <x v="0"/>
    <x v="1"/>
    <x v="1"/>
    <n v="19.239999999999998"/>
    <n v="9"/>
    <n v="8.6579999999999995"/>
    <n v="181.81800000000001"/>
    <s v="03-04-2019"/>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s v="03-12-2019"/>
    <d v="1899-12-30T20:04:00"/>
    <x v="2"/>
    <n v="184.88"/>
    <n v="4.7619047620000003"/>
    <n v="9.2439999999999998"/>
    <n v="6.2"/>
  </r>
  <r>
    <s v="236-86-3015"/>
    <x v="1"/>
    <x v="1"/>
    <x v="0"/>
    <x v="1"/>
    <x v="2"/>
    <n v="13.98"/>
    <n v="1"/>
    <n v="0.69899999999999995"/>
    <n v="14.679"/>
    <s v="02-04-2019"/>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s v="01-11-2019"/>
    <d v="1899-12-30T19:07:00"/>
    <x v="2"/>
    <n v="68.95"/>
    <n v="4.7619047620000003"/>
    <n v="3.4474999999999998"/>
    <n v="7.8"/>
  </r>
  <r>
    <s v="725-32-9708"/>
    <x v="2"/>
    <x v="2"/>
    <x v="0"/>
    <x v="0"/>
    <x v="5"/>
    <n v="68.709999999999994"/>
    <n v="4"/>
    <n v="13.742000000000001"/>
    <n v="288.58199999999999"/>
    <s v="01-04-2019"/>
    <d v="1899-12-30T19:01:00"/>
    <x v="1"/>
    <n v="274.83999999999997"/>
    <n v="4.7619047620000003"/>
    <n v="13.742000000000001"/>
    <n v="4.0999999999999996"/>
  </r>
  <r>
    <s v="256-08-8343"/>
    <x v="0"/>
    <x v="0"/>
    <x v="1"/>
    <x v="0"/>
    <x v="2"/>
    <n v="56.53"/>
    <n v="4"/>
    <n v="11.305999999999999"/>
    <n v="237.42599999999999"/>
    <s v="03-04-2019"/>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s v="01-02-2019"/>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s v="01-04-2019"/>
    <d v="1899-12-30T13:21:00"/>
    <x v="1"/>
    <n v="104.85"/>
    <n v="4.7619047620000003"/>
    <n v="5.2424999999999997"/>
    <n v="7.8"/>
  </r>
  <r>
    <s v="696-90-2548"/>
    <x v="0"/>
    <x v="0"/>
    <x v="1"/>
    <x v="1"/>
    <x v="3"/>
    <n v="25.84"/>
    <n v="3"/>
    <n v="3.8759999999999999"/>
    <n v="81.396000000000001"/>
    <s v="03-10-2019"/>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s v="01-08-2019"/>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s v="01-12-2019"/>
    <d v="1899-12-30T17:13:00"/>
    <x v="0"/>
    <n v="114.44"/>
    <n v="4.7619047620000003"/>
    <n v="5.7220000000000004"/>
    <n v="8.3000000000000007"/>
  </r>
  <r>
    <s v="745-71-3520"/>
    <x v="0"/>
    <x v="0"/>
    <x v="0"/>
    <x v="0"/>
    <x v="1"/>
    <n v="25.22"/>
    <n v="7"/>
    <n v="8.827"/>
    <n v="185.36699999999999"/>
    <s v="02-04-2019"/>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s v="02-08-201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s v="03-09-2019"/>
    <d v="1899-12-30T15:36:00"/>
    <x v="1"/>
    <n v="16.28"/>
    <n v="4.7619047620000003"/>
    <n v="0.81399999999999995"/>
    <n v="5"/>
  </r>
  <r>
    <s v="198-84-7132"/>
    <x v="2"/>
    <x v="2"/>
    <x v="0"/>
    <x v="1"/>
    <x v="5"/>
    <n v="40.61"/>
    <n v="9"/>
    <n v="18.2745"/>
    <n v="383.7645"/>
    <s v="01-02-2019"/>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s v="03-08-2019"/>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s v="03-08-2019"/>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s v="03-09-2019"/>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s v="03-08-2019"/>
    <d v="1899-12-30T15:37:00"/>
    <x v="2"/>
    <n v="203.94"/>
    <n v="4.7619047620000003"/>
    <n v="10.196999999999999"/>
    <n v="7.7"/>
  </r>
  <r>
    <s v="549-96-4200"/>
    <x v="1"/>
    <x v="1"/>
    <x v="0"/>
    <x v="1"/>
    <x v="4"/>
    <n v="17.04"/>
    <n v="4"/>
    <n v="3.4079999999999999"/>
    <n v="71.567999999999998"/>
    <s v="03-08-2019"/>
    <d v="1899-12-30T20:15:00"/>
    <x v="0"/>
    <n v="68.16"/>
    <n v="4.7619047620000003"/>
    <n v="3.4079999999999999"/>
    <n v="7"/>
  </r>
  <r>
    <s v="810-60-6344"/>
    <x v="1"/>
    <x v="1"/>
    <x v="1"/>
    <x v="0"/>
    <x v="1"/>
    <n v="40.86"/>
    <n v="8"/>
    <n v="16.344000000000001"/>
    <n v="343.22399999999999"/>
    <s v="02-07-2019"/>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s v="01-08-2019"/>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s v="03-10-2019"/>
    <d v="1899-12-30T17:38:00"/>
    <x v="2"/>
    <n v="137.22"/>
    <n v="4.7619047620000003"/>
    <n v="6.8609999999999998"/>
    <n v="6.5"/>
  </r>
  <r>
    <s v="296-11-7041"/>
    <x v="2"/>
    <x v="2"/>
    <x v="0"/>
    <x v="0"/>
    <x v="0"/>
    <n v="27.07"/>
    <n v="1"/>
    <n v="1.3534999999999999"/>
    <n v="28.423500000000001"/>
    <s v="01-12-2019"/>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s v="01-01-2019"/>
    <d v="1899-12-30T19:07:00"/>
    <x v="1"/>
    <n v="448.26"/>
    <n v="4.7619047620000003"/>
    <n v="22.413"/>
    <n v="6.7"/>
  </r>
  <r>
    <s v="744-09-5786"/>
    <x v="2"/>
    <x v="2"/>
    <x v="1"/>
    <x v="1"/>
    <x v="1"/>
    <n v="22.01"/>
    <n v="6"/>
    <n v="6.6029999999999998"/>
    <n v="138.66300000000001"/>
    <s v="01-02-2019"/>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s v="03-03-2019"/>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s v="02-07-2019"/>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s v="02-03-2019"/>
    <d v="1899-12-30T15:19:00"/>
    <x v="1"/>
    <n v="202.6"/>
    <n v="4.7619047620000003"/>
    <n v="10.130000000000001"/>
    <n v="4.5"/>
  </r>
  <r>
    <s v="234-03-4040"/>
    <x v="2"/>
    <x v="2"/>
    <x v="0"/>
    <x v="0"/>
    <x v="4"/>
    <n v="73.05"/>
    <n v="10"/>
    <n v="36.524999999999999"/>
    <n v="767.02499999999998"/>
    <s v="03-03-2019"/>
    <d v="1899-12-30T12:25:00"/>
    <x v="2"/>
    <n v="730.5"/>
    <n v="4.7619047620000003"/>
    <n v="36.524999999999999"/>
    <n v="8.6999999999999993"/>
  </r>
  <r>
    <s v="326-71-2155"/>
    <x v="1"/>
    <x v="1"/>
    <x v="1"/>
    <x v="0"/>
    <x v="3"/>
    <n v="73.95"/>
    <n v="4"/>
    <n v="14.79"/>
    <n v="310.58999999999997"/>
    <s v="02-03-2019"/>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s v="03-02-2019"/>
    <d v="1899-12-30T11:22:00"/>
    <x v="2"/>
    <n v="545.5"/>
    <n v="4.7619047620000003"/>
    <n v="27.274999999999999"/>
    <n v="7.1"/>
  </r>
  <r>
    <s v="440-59-5691"/>
    <x v="1"/>
    <x v="1"/>
    <x v="0"/>
    <x v="0"/>
    <x v="0"/>
    <n v="37.15"/>
    <n v="7"/>
    <n v="13.0025"/>
    <n v="273.05250000000001"/>
    <s v="02-08-201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s v="02-09-2019"/>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s v="02-02-2019"/>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s v="03-07-201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s v="02-02-2019"/>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s v="01-08-2019"/>
    <d v="1899-12-30T13:05:00"/>
    <x v="0"/>
    <n v="185.7"/>
    <n v="4.7619047620000003"/>
    <n v="9.2850000000000001"/>
    <n v="5"/>
  </r>
  <r>
    <s v="305-18-3552"/>
    <x v="2"/>
    <x v="2"/>
    <x v="0"/>
    <x v="1"/>
    <x v="2"/>
    <n v="60.38"/>
    <n v="10"/>
    <n v="30.19"/>
    <n v="633.99"/>
    <s v="02-12-2019"/>
    <d v="1899-12-30T16:19:00"/>
    <x v="1"/>
    <n v="603.79999999999995"/>
    <n v="4.7619047620000003"/>
    <n v="30.19"/>
    <n v="6"/>
  </r>
  <r>
    <s v="493-65-6248"/>
    <x v="1"/>
    <x v="1"/>
    <x v="0"/>
    <x v="0"/>
    <x v="3"/>
    <n v="36.979999999999997"/>
    <n v="10"/>
    <n v="18.489999999999998"/>
    <n v="388.29"/>
    <s v="01-01-2019"/>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s v="02-04-2019"/>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s v="03-05-2019"/>
    <d v="1899-12-30T20:24:00"/>
    <x v="0"/>
    <n v="202.56"/>
    <n v="4.7619047620000003"/>
    <n v="10.128"/>
    <n v="8.6999999999999993"/>
  </r>
  <r>
    <s v="148-82-2527"/>
    <x v="1"/>
    <x v="1"/>
    <x v="0"/>
    <x v="0"/>
    <x v="2"/>
    <n v="12.12"/>
    <n v="10"/>
    <n v="6.06"/>
    <n v="127.26"/>
    <s v="03-05-2019"/>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s v="01-01-2019"/>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s v="02-02-2019"/>
    <d v="1899-12-30T15:47:00"/>
    <x v="1"/>
    <n v="412.16"/>
    <n v="4.7619047620000003"/>
    <n v="20.608000000000001"/>
    <n v="9.6"/>
  </r>
  <r>
    <s v="277-63-2961"/>
    <x v="2"/>
    <x v="2"/>
    <x v="0"/>
    <x v="1"/>
    <x v="3"/>
    <n v="73.97"/>
    <n v="1"/>
    <n v="3.6985000000000001"/>
    <n v="77.668499999999995"/>
    <s v="02-03-2019"/>
    <d v="1899-12-30T15:53:00"/>
    <x v="2"/>
    <n v="73.97"/>
    <n v="4.7619047620000003"/>
    <n v="3.6985000000000001"/>
    <n v="5.4"/>
  </r>
  <r>
    <s v="573-98-8548"/>
    <x v="1"/>
    <x v="1"/>
    <x v="0"/>
    <x v="0"/>
    <x v="5"/>
    <n v="31.9"/>
    <n v="1"/>
    <n v="1.595"/>
    <n v="33.494999999999997"/>
    <s v="01-05-2019"/>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s v="01-08-2019"/>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s v="02-09-2019"/>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s v="01-05-2019"/>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s v="03-01-2019"/>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s v="02-06-2019"/>
    <d v="1899-12-30T13:55:00"/>
    <x v="2"/>
    <n v="224.64"/>
    <n v="4.7619047620000003"/>
    <n v="11.231999999999999"/>
    <n v="5.9"/>
  </r>
  <r>
    <s v="133-14-7229"/>
    <x v="1"/>
    <x v="1"/>
    <x v="1"/>
    <x v="1"/>
    <x v="0"/>
    <n v="62.87"/>
    <n v="2"/>
    <n v="6.2869999999999999"/>
    <n v="132.02699999999999"/>
    <s v="01-01-2019"/>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s v="02-07-2019"/>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s v="02-12-2019"/>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s v="02-06-2019"/>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s v="03-11-2019"/>
    <d v="1899-12-30T13:28:00"/>
    <x v="0"/>
    <n v="141.6"/>
    <n v="4.7619047620000003"/>
    <n v="7.08"/>
    <n v="6.2"/>
  </r>
  <r>
    <s v="583-41-4548"/>
    <x v="1"/>
    <x v="1"/>
    <x v="1"/>
    <x v="1"/>
    <x v="2"/>
    <n v="16.670000000000002"/>
    <n v="7"/>
    <n v="5.8345000000000002"/>
    <n v="122.5245"/>
    <s v="02-07-2019"/>
    <d v="1899-12-30T11:36:00"/>
    <x v="0"/>
    <n v="116.69"/>
    <n v="4.7619047620000003"/>
    <n v="5.8345000000000002"/>
    <n v="7.4"/>
  </r>
  <r>
    <s v="339-12-4827"/>
    <x v="2"/>
    <x v="2"/>
    <x v="0"/>
    <x v="0"/>
    <x v="5"/>
    <n v="73.959999999999994"/>
    <n v="1"/>
    <n v="3.698"/>
    <n v="77.658000000000001"/>
    <s v="01-05-2019"/>
    <d v="1899-12-30T11:32:00"/>
    <x v="2"/>
    <n v="73.959999999999994"/>
    <n v="4.7619047620000003"/>
    <n v="3.698"/>
    <n v="5"/>
  </r>
  <r>
    <s v="643-38-7867"/>
    <x v="0"/>
    <x v="0"/>
    <x v="1"/>
    <x v="1"/>
    <x v="2"/>
    <n v="97.94"/>
    <n v="1"/>
    <n v="4.8970000000000002"/>
    <n v="102.837"/>
    <s v="03-07-201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s v="02-01-2019"/>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s v="01-03-2019"/>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s v="01-05-2019"/>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s v="01-12-2019"/>
    <d v="1899-12-30T16:23:00"/>
    <x v="0"/>
    <n v="294.2"/>
    <n v="4.7619047620000003"/>
    <n v="14.71"/>
    <n v="8.9"/>
  </r>
  <r>
    <s v="541-48-8554"/>
    <x v="0"/>
    <x v="0"/>
    <x v="1"/>
    <x v="1"/>
    <x v="3"/>
    <n v="60.95"/>
    <n v="9"/>
    <n v="27.427499999999998"/>
    <n v="575.97749999999996"/>
    <s v="01-07-2019"/>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s v="02-09-2019"/>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s v="02-05-2019"/>
    <d v="1899-12-30T12:34:00"/>
    <x v="1"/>
    <n v="524.16"/>
    <n v="4.7619047620000003"/>
    <n v="26.207999999999998"/>
    <n v="9.6999999999999993"/>
  </r>
  <r>
    <s v="399-69-4630"/>
    <x v="1"/>
    <x v="1"/>
    <x v="1"/>
    <x v="1"/>
    <x v="1"/>
    <n v="22.21"/>
    <n v="6"/>
    <n v="6.6630000000000003"/>
    <n v="139.923"/>
    <s v="03-07-201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s v="02-04-2019"/>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s v="01-02-2019"/>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s v="02-11-2019"/>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s v="02-03-2019"/>
    <d v="1899-12-30T16:40:00"/>
    <x v="2"/>
    <n v="493.3"/>
    <n v="4.7619047620000003"/>
    <n v="24.664999999999999"/>
    <n v="9.4"/>
  </r>
  <r>
    <s v="651-88-7328"/>
    <x v="0"/>
    <x v="0"/>
    <x v="1"/>
    <x v="0"/>
    <x v="5"/>
    <n v="65.739999999999995"/>
    <n v="9"/>
    <n v="29.582999999999998"/>
    <n v="621.24300000000005"/>
    <s v="01-01-2019"/>
    <d v="1899-12-30T13:55:00"/>
    <x v="1"/>
    <n v="591.66"/>
    <n v="4.7619047620000003"/>
    <n v="29.582999999999998"/>
    <n v="7.7"/>
  </r>
  <r>
    <s v="241-11-2261"/>
    <x v="2"/>
    <x v="2"/>
    <x v="1"/>
    <x v="0"/>
    <x v="5"/>
    <n v="79.86"/>
    <n v="7"/>
    <n v="27.951000000000001"/>
    <n v="586.971"/>
    <s v="01-10-2019"/>
    <d v="1899-12-30T10:33:00"/>
    <x v="2"/>
    <n v="559.02"/>
    <n v="4.7619047620000003"/>
    <n v="27.951000000000001"/>
    <n v="5.5"/>
  </r>
  <r>
    <s v="408-26-9866"/>
    <x v="1"/>
    <x v="1"/>
    <x v="1"/>
    <x v="0"/>
    <x v="3"/>
    <n v="73.98"/>
    <n v="7"/>
    <n v="25.893000000000001"/>
    <n v="543.75300000000004"/>
    <s v="03-02-201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s v="03-10-2019"/>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s v="03-01-2019"/>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s v="03-01-2019"/>
    <d v="1899-12-30T12:15:00"/>
    <x v="0"/>
    <n v="139.02000000000001"/>
    <n v="4.7619047620000003"/>
    <n v="6.9509999999999996"/>
    <n v="8.1"/>
  </r>
  <r>
    <s v="390-31-6381"/>
    <x v="1"/>
    <x v="1"/>
    <x v="1"/>
    <x v="1"/>
    <x v="4"/>
    <n v="27.22"/>
    <n v="3"/>
    <n v="4.0830000000000002"/>
    <n v="85.742999999999995"/>
    <s v="01-07-2019"/>
    <d v="1899-12-30T12:37:00"/>
    <x v="1"/>
    <n v="81.66"/>
    <n v="4.7619047620000003"/>
    <n v="4.0830000000000002"/>
    <n v="7.3"/>
  </r>
  <r>
    <s v="443-82-0585"/>
    <x v="0"/>
    <x v="0"/>
    <x v="0"/>
    <x v="0"/>
    <x v="0"/>
    <n v="77.680000000000007"/>
    <n v="4"/>
    <n v="15.536"/>
    <n v="326.25599999999997"/>
    <s v="02-01-2019"/>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s v="03-09-2019"/>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s v="02-04-2019"/>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s v="03-04-2019"/>
    <d v="1899-12-30T12:23:00"/>
    <x v="1"/>
    <n v="73.099999999999994"/>
    <n v="4.7619047620000003"/>
    <n v="3.6549999999999998"/>
    <n v="4.4000000000000004"/>
  </r>
  <r>
    <s v="302-15-2162"/>
    <x v="1"/>
    <x v="1"/>
    <x v="0"/>
    <x v="1"/>
    <x v="0"/>
    <n v="46.53"/>
    <n v="6"/>
    <n v="13.959"/>
    <n v="293.13900000000001"/>
    <s v="03-03-2019"/>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s v="02-07-2019"/>
    <d v="1899-12-30T14:13:00"/>
    <x v="1"/>
    <n v="45.58"/>
    <n v="4.7619047620000003"/>
    <n v="2.2789999999999999"/>
    <n v="9.8000000000000007"/>
  </r>
  <r>
    <s v="880-35-0356"/>
    <x v="0"/>
    <x v="0"/>
    <x v="0"/>
    <x v="0"/>
    <x v="3"/>
    <n v="75.2"/>
    <n v="3"/>
    <n v="11.28"/>
    <n v="236.88"/>
    <s v="02-05-2019"/>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s v="03-01-2019"/>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s v="01-08-2019"/>
    <d v="1899-12-30T20:08:00"/>
    <x v="1"/>
    <n v="363.23"/>
    <n v="4.7619047620000003"/>
    <n v="18.1615"/>
    <n v="4.5"/>
  </r>
  <r>
    <s v="830-58-2383"/>
    <x v="2"/>
    <x v="2"/>
    <x v="1"/>
    <x v="1"/>
    <x v="2"/>
    <n v="31.75"/>
    <n v="4"/>
    <n v="6.35"/>
    <n v="133.35"/>
    <s v="02-08-2019"/>
    <d v="1899-12-30T15:26:00"/>
    <x v="1"/>
    <n v="127"/>
    <n v="4.7619047620000003"/>
    <n v="6.35"/>
    <n v="8.6"/>
  </r>
  <r>
    <s v="559-98-9873"/>
    <x v="0"/>
    <x v="0"/>
    <x v="0"/>
    <x v="0"/>
    <x v="5"/>
    <n v="53.65"/>
    <n v="7"/>
    <n v="18.7775"/>
    <n v="394.32749999999999"/>
    <s v="02-10-2019"/>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s v="02-07-2019"/>
    <d v="1899-12-30T10:18:00"/>
    <x v="2"/>
    <n v="28.96"/>
    <n v="4.7619047620000003"/>
    <n v="1.448"/>
    <n v="6.2"/>
  </r>
  <r>
    <s v="277-35-5865"/>
    <x v="1"/>
    <x v="1"/>
    <x v="0"/>
    <x v="0"/>
    <x v="4"/>
    <n v="98.97"/>
    <n v="9"/>
    <n v="44.536499999999997"/>
    <n v="935.26649999999995"/>
    <s v="03-09-2019"/>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s v="02-03-2019"/>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s v="02-07-2019"/>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s v="01-12-2019"/>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s v="03-09-2019"/>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s v="03-05-2019"/>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s v="03-03-2019"/>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s v="03-08-2019"/>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s v="02-03-2019"/>
    <d v="1899-12-30T17:24:00"/>
    <x v="1"/>
    <n v="727.8"/>
    <n v="4.7619047620000003"/>
    <n v="36.39"/>
    <n v="7.3"/>
  </r>
  <r>
    <s v="149-15-7606"/>
    <x v="2"/>
    <x v="2"/>
    <x v="0"/>
    <x v="1"/>
    <x v="3"/>
    <n v="37.32"/>
    <n v="9"/>
    <n v="16.794"/>
    <n v="352.67399999999998"/>
    <s v="03-06-20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s v="02-03-2019"/>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s v="02-12-2019"/>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s v="02-04-2019"/>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s v="03-02-201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s v="03-01-2019"/>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s v="02-07-2019"/>
    <d v="1899-12-30T14:27:00"/>
    <x v="0"/>
    <n v="589.5"/>
    <n v="4.7619047620000003"/>
    <n v="29.475000000000001"/>
    <n v="8.1"/>
  </r>
  <r>
    <s v="130-67-4723"/>
    <x v="0"/>
    <x v="0"/>
    <x v="0"/>
    <x v="1"/>
    <x v="4"/>
    <n v="48.5"/>
    <n v="6"/>
    <n v="14.55"/>
    <n v="305.55"/>
    <s v="01-11-2019"/>
    <d v="1899-12-30T13:57:00"/>
    <x v="0"/>
    <n v="291"/>
    <n v="4.7619047620000003"/>
    <n v="14.55"/>
    <n v="9.4"/>
  </r>
  <r>
    <s v="528-87-5606"/>
    <x v="2"/>
    <x v="2"/>
    <x v="0"/>
    <x v="0"/>
    <x v="1"/>
    <n v="39.479999999999997"/>
    <n v="1"/>
    <n v="1.974"/>
    <n v="41.454000000000001"/>
    <s v="02-12-2019"/>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s v="01-09-201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s v="01-08-2019"/>
    <d v="1899-12-30T12:58:00"/>
    <x v="2"/>
    <n v="98.2"/>
    <n v="4.7619047620000003"/>
    <n v="4.91"/>
    <n v="6.4"/>
  </r>
  <r>
    <s v="767-97-4650"/>
    <x v="2"/>
    <x v="2"/>
    <x v="0"/>
    <x v="0"/>
    <x v="3"/>
    <n v="64.83"/>
    <n v="2"/>
    <n v="6.4829999999999997"/>
    <n v="136.143"/>
    <s v="01-08-2019"/>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s v="03-12-2019"/>
    <d v="1899-12-30T19:39:00"/>
    <x v="0"/>
    <n v="385.28"/>
    <n v="4.7619047620000003"/>
    <n v="19.263999999999999"/>
    <n v="5.2"/>
  </r>
  <r>
    <s v="689-05-1884"/>
    <x v="0"/>
    <x v="0"/>
    <x v="0"/>
    <x v="1"/>
    <x v="0"/>
    <n v="48.63"/>
    <n v="10"/>
    <n v="24.315000000000001"/>
    <n v="510.61500000000001"/>
    <s v="03-04-2019"/>
    <d v="1899-12-30T12:44:00"/>
    <x v="1"/>
    <n v="486.3"/>
    <n v="4.7619047620000003"/>
    <n v="24.315000000000001"/>
    <n v="8.8000000000000007"/>
  </r>
  <r>
    <s v="196-01-2849"/>
    <x v="1"/>
    <x v="1"/>
    <x v="0"/>
    <x v="0"/>
    <x v="5"/>
    <n v="73.38"/>
    <n v="7"/>
    <n v="25.683"/>
    <n v="539.34299999999996"/>
    <s v="02-10-2019"/>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s v="01-01-2019"/>
    <d v="1899-12-30T20:26:00"/>
    <x v="0"/>
    <n v="108.16"/>
    <n v="4.7619047620000003"/>
    <n v="5.4080000000000004"/>
    <n v="6.9"/>
  </r>
  <r>
    <s v="826-58-8051"/>
    <x v="2"/>
    <x v="2"/>
    <x v="1"/>
    <x v="1"/>
    <x v="2"/>
    <n v="62.19"/>
    <n v="4"/>
    <n v="12.438000000000001"/>
    <n v="261.19799999999998"/>
    <s v="01-06-2019"/>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s v="01-12-2019"/>
    <d v="1899-12-30T16:18:00"/>
    <x v="0"/>
    <n v="975"/>
    <n v="4.7619047620000003"/>
    <n v="48.75"/>
    <n v="8"/>
  </r>
  <r>
    <s v="626-43-7888"/>
    <x v="1"/>
    <x v="1"/>
    <x v="1"/>
    <x v="0"/>
    <x v="5"/>
    <n v="60.41"/>
    <n v="8"/>
    <n v="24.164000000000001"/>
    <n v="507.44400000000002"/>
    <s v="02-07-2019"/>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s v="01-06-2019"/>
    <d v="1899-12-30T11:18:00"/>
    <x v="1"/>
    <n v="724.23"/>
    <n v="4.7619047620000003"/>
    <n v="36.211500000000001"/>
    <n v="9.1999999999999993"/>
  </r>
  <r>
    <s v="640-48-5028"/>
    <x v="2"/>
    <x v="2"/>
    <x v="0"/>
    <x v="0"/>
    <x v="2"/>
    <n v="88.39"/>
    <n v="9"/>
    <n v="39.775500000000001"/>
    <n v="835.28549999999996"/>
    <s v="03-02-201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s v="02-04-2019"/>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s v="02-06-2019"/>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s v="02-02-2019"/>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s v="01-11-2019"/>
    <d v="1899-12-30T20:10:00"/>
    <x v="1"/>
    <n v="257.39"/>
    <n v="4.7619047620000003"/>
    <n v="12.8695"/>
    <n v="7.4"/>
  </r>
  <r>
    <s v="434-35-9162"/>
    <x v="2"/>
    <x v="2"/>
    <x v="0"/>
    <x v="1"/>
    <x v="4"/>
    <n v="23.34"/>
    <n v="4"/>
    <n v="4.6680000000000001"/>
    <n v="98.028000000000006"/>
    <s v="02-04-2019"/>
    <d v="1899-12-30T18:53:00"/>
    <x v="0"/>
    <n v="93.36"/>
    <n v="4.7619047620000003"/>
    <n v="4.6680000000000001"/>
    <n v="7.4"/>
  </r>
  <r>
    <s v="149-14-0304"/>
    <x v="1"/>
    <x v="1"/>
    <x v="0"/>
    <x v="0"/>
    <x v="0"/>
    <n v="28.5"/>
    <n v="8"/>
    <n v="11.4"/>
    <n v="239.4"/>
    <s v="02-06-2019"/>
    <d v="1899-12-30T14:24:00"/>
    <x v="1"/>
    <n v="228"/>
    <n v="4.7619047620000003"/>
    <n v="11.4"/>
    <n v="6.6"/>
  </r>
  <r>
    <s v="442-44-6497"/>
    <x v="1"/>
    <x v="1"/>
    <x v="0"/>
    <x v="1"/>
    <x v="2"/>
    <n v="55.57"/>
    <n v="3"/>
    <n v="8.3354999999999997"/>
    <n v="175.0455"/>
    <s v="01-08-2019"/>
    <d v="1899-12-30T11:42:00"/>
    <x v="2"/>
    <n v="166.71"/>
    <n v="4.7619047620000003"/>
    <n v="8.3354999999999997"/>
    <n v="5.9"/>
  </r>
  <r>
    <s v="174-64-0215"/>
    <x v="2"/>
    <x v="2"/>
    <x v="1"/>
    <x v="1"/>
    <x v="3"/>
    <n v="69.739999999999995"/>
    <n v="10"/>
    <n v="34.869999999999997"/>
    <n v="732.27"/>
    <s v="03-05-2019"/>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s v="03-09-2019"/>
    <d v="1899-12-30T10:54:00"/>
    <x v="1"/>
    <n v="365.26"/>
    <n v="4.7619047620000003"/>
    <n v="18.263000000000002"/>
    <n v="9.3000000000000007"/>
  </r>
  <r>
    <s v="247-11-2470"/>
    <x v="0"/>
    <x v="0"/>
    <x v="0"/>
    <x v="0"/>
    <x v="5"/>
    <n v="22.32"/>
    <n v="4"/>
    <n v="4.4640000000000004"/>
    <n v="93.744"/>
    <s v="03-01-2019"/>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s v="02-08-201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s v="03-01-2019"/>
    <d v="1899-12-30T20:03:00"/>
    <x v="0"/>
    <n v="53.72"/>
    <n v="4.7619047620000003"/>
    <n v="2.6859999999999999"/>
    <n v="6.4"/>
  </r>
  <r>
    <s v="607-65-2441"/>
    <x v="1"/>
    <x v="1"/>
    <x v="0"/>
    <x v="1"/>
    <x v="0"/>
    <n v="81.95"/>
    <n v="10"/>
    <n v="40.975000000000001"/>
    <n v="860.47500000000002"/>
    <s v="03-10-2019"/>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s v="01-12-2019"/>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s v="02-12-2019"/>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s v="01-02-2019"/>
    <d v="1899-12-30T16:19:00"/>
    <x v="2"/>
    <n v="253.36"/>
    <n v="4.7619047620000003"/>
    <n v="12.667999999999999"/>
    <n v="5.6"/>
  </r>
  <r>
    <s v="390-17-5806"/>
    <x v="1"/>
    <x v="1"/>
    <x v="0"/>
    <x v="0"/>
    <x v="4"/>
    <n v="38.42"/>
    <n v="1"/>
    <n v="1.921"/>
    <n v="40.341000000000001"/>
    <s v="02-02-2019"/>
    <d v="1899-12-30T16:33:00"/>
    <x v="1"/>
    <n v="38.42"/>
    <n v="4.7619047620000003"/>
    <n v="1.921"/>
    <n v="8.6"/>
  </r>
  <r>
    <s v="457-13-1708"/>
    <x v="2"/>
    <x v="2"/>
    <x v="0"/>
    <x v="1"/>
    <x v="5"/>
    <n v="65.23"/>
    <n v="10"/>
    <n v="32.615000000000002"/>
    <n v="684.91499999999996"/>
    <s v="01-08-2019"/>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s v="02-03-2019"/>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s v="03-09-2019"/>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s v="01-11-2019"/>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s v="02-11-2019"/>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s v="03-05-2019"/>
    <d v="1899-12-30T19:40:00"/>
    <x v="0"/>
    <n v="763.68"/>
    <n v="4.7619047620000003"/>
    <n v="38.183999999999997"/>
    <n v="4.7"/>
  </r>
  <r>
    <s v="801-88-0346"/>
    <x v="1"/>
    <x v="1"/>
    <x v="1"/>
    <x v="0"/>
    <x v="5"/>
    <n v="76.06"/>
    <n v="3"/>
    <n v="11.409000000000001"/>
    <n v="239.589"/>
    <s v="01-05-2019"/>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s v="02-06-2019"/>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s v="03-05-2019"/>
    <d v="1899-12-30T18:02:00"/>
    <x v="2"/>
    <n v="457.17"/>
    <n v="4.7619047620000003"/>
    <n v="22.858499999999999"/>
    <n v="4.2"/>
  </r>
  <r>
    <s v="875-31-8302"/>
    <x v="2"/>
    <x v="2"/>
    <x v="1"/>
    <x v="1"/>
    <x v="3"/>
    <n v="93.38"/>
    <n v="1"/>
    <n v="4.6689999999999996"/>
    <n v="98.049000000000007"/>
    <s v="01-03-2019"/>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s v="02-11-2019"/>
    <d v="1899-12-30T16:06:00"/>
    <x v="0"/>
    <n v="379.04"/>
    <n v="4.7619047620000003"/>
    <n v="18.952000000000002"/>
    <n v="7.8"/>
  </r>
  <r>
    <s v="307-04-2070"/>
    <x v="0"/>
    <x v="0"/>
    <x v="0"/>
    <x v="0"/>
    <x v="5"/>
    <n v="30.62"/>
    <n v="1"/>
    <n v="1.5309999999999999"/>
    <n v="32.151000000000003"/>
    <s v="02-05-2019"/>
    <d v="1899-12-30T14:14:00"/>
    <x v="2"/>
    <n v="30.62"/>
    <n v="4.7619047620000003"/>
    <n v="1.5309999999999999"/>
    <n v="4.0999999999999996"/>
  </r>
  <r>
    <s v="468-99-7231"/>
    <x v="1"/>
    <x v="1"/>
    <x v="1"/>
    <x v="0"/>
    <x v="2"/>
    <n v="44.01"/>
    <n v="8"/>
    <n v="17.603999999999999"/>
    <n v="369.68400000000003"/>
    <s v="03-03-2019"/>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s v="02-04-2019"/>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s v="03-03-2019"/>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s v="02-11-2019"/>
    <d v="1899-12-30T18:38:00"/>
    <x v="0"/>
    <n v="433.45"/>
    <n v="4.7619047620000003"/>
    <n v="21.672499999999999"/>
    <n v="9.4"/>
  </r>
  <r>
    <s v="751-15-6198"/>
    <x v="2"/>
    <x v="2"/>
    <x v="1"/>
    <x v="1"/>
    <x v="3"/>
    <n v="23.01"/>
    <n v="6"/>
    <n v="6.9029999999999996"/>
    <n v="144.96299999999999"/>
    <s v="01-12-2019"/>
    <d v="1899-12-30T16:45:00"/>
    <x v="0"/>
    <n v="138.06"/>
    <n v="4.7619047620000003"/>
    <n v="6.9029999999999996"/>
    <n v="7.9"/>
  </r>
  <r>
    <s v="324-41-6833"/>
    <x v="1"/>
    <x v="1"/>
    <x v="0"/>
    <x v="0"/>
    <x v="1"/>
    <n v="30.2"/>
    <n v="8"/>
    <n v="12.08"/>
    <n v="253.68"/>
    <s v="03-03-2019"/>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s v="03-04-2019"/>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s v="01-08-2019"/>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s v="02-08-201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s v="02-03-2019"/>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s v="02-07-2019"/>
    <d v="1899-12-30T14:15:00"/>
    <x v="1"/>
    <n v="10.17"/>
    <n v="4.7619047620000003"/>
    <n v="0.50849999999999995"/>
    <n v="5.9"/>
  </r>
  <r>
    <s v="276-75-6884"/>
    <x v="0"/>
    <x v="0"/>
    <x v="1"/>
    <x v="0"/>
    <x v="0"/>
    <n v="68.709999999999994"/>
    <n v="3"/>
    <n v="10.3065"/>
    <n v="216.4365"/>
    <s v="03-04-2019"/>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s v="01-01-2019"/>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s v="01-09-201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s v="03-12-2019"/>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s v="01-09-2019"/>
    <d v="1899-12-30T13:34:00"/>
    <x v="0"/>
    <n v="192.7"/>
    <n v="4.7619047620000003"/>
    <n v="9.6349999999999998"/>
    <n v="5.6"/>
  </r>
  <r>
    <s v="670-71-7306"/>
    <x v="2"/>
    <x v="2"/>
    <x v="1"/>
    <x v="1"/>
    <x v="3"/>
    <n v="44.63"/>
    <n v="6"/>
    <n v="13.388999999999999"/>
    <n v="281.16899999999998"/>
    <s v="01-02-2019"/>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s v="01-01-2019"/>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s v="03-02-201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s v="01-08-2019"/>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s v="01-01-2019"/>
    <d v="1899-12-30T19:31:00"/>
    <x v="1"/>
    <n v="168.96"/>
    <n v="4.7619047620000003"/>
    <n v="8.4480000000000004"/>
    <n v="6.3"/>
  </r>
  <r>
    <s v="748-45-2862"/>
    <x v="0"/>
    <x v="0"/>
    <x v="0"/>
    <x v="0"/>
    <x v="2"/>
    <n v="28.31"/>
    <n v="4"/>
    <n v="5.6619999999999999"/>
    <n v="118.902"/>
    <s v="03-07-201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s v="01-08-2019"/>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s v="01-12-2019"/>
    <d v="1899-12-30T11:42:00"/>
    <x v="1"/>
    <n v="357.49"/>
    <n v="4.7619047620000003"/>
    <n v="17.874500000000001"/>
    <n v="7"/>
  </r>
  <r>
    <s v="124-31-1458"/>
    <x v="0"/>
    <x v="0"/>
    <x v="0"/>
    <x v="0"/>
    <x v="1"/>
    <n v="79.59"/>
    <n v="3"/>
    <n v="11.938499999999999"/>
    <n v="250.70849999999999"/>
    <s v="01-08-2019"/>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s v="01-08-2019"/>
    <d v="1899-12-30T19:09:00"/>
    <x v="2"/>
    <n v="72.930000000000007"/>
    <n v="4.7619047620000003"/>
    <n v="3.6465000000000001"/>
    <n v="4.3"/>
  </r>
  <r>
    <s v="852-82-2749"/>
    <x v="0"/>
    <x v="0"/>
    <x v="1"/>
    <x v="1"/>
    <x v="3"/>
    <n v="64.59"/>
    <n v="4"/>
    <n v="12.917999999999999"/>
    <n v="271.27800000000002"/>
    <s v="01-06-2019"/>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s v="02-12-2019"/>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s v="01-08-2019"/>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s v="02-05-2019"/>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s v="02-07-2019"/>
    <d v="1899-12-30T15:06:00"/>
    <x v="1"/>
    <n v="463.28"/>
    <n v="4.7619047620000003"/>
    <n v="23.164000000000001"/>
    <n v="8.1"/>
  </r>
  <r>
    <s v="607-76-6216"/>
    <x v="1"/>
    <x v="1"/>
    <x v="0"/>
    <x v="0"/>
    <x v="5"/>
    <n v="92.49"/>
    <n v="5"/>
    <n v="23.122499999999999"/>
    <n v="485.57249999999999"/>
    <s v="03-02-2019"/>
    <d v="1899-12-30T16:35:00"/>
    <x v="2"/>
    <n v="462.45"/>
    <n v="4.7619047620000003"/>
    <n v="23.122499999999999"/>
    <n v="8.6"/>
  </r>
  <r>
    <s v="715-20-1673"/>
    <x v="2"/>
    <x v="2"/>
    <x v="1"/>
    <x v="1"/>
    <x v="1"/>
    <n v="28.38"/>
    <n v="5"/>
    <n v="7.0949999999999998"/>
    <n v="148.995"/>
    <s v="03-06-2019"/>
    <d v="1899-12-30T20:57:00"/>
    <x v="1"/>
    <n v="141.9"/>
    <n v="4.7619047620000003"/>
    <n v="7.0949999999999998"/>
    <n v="9.4"/>
  </r>
  <r>
    <s v="811-35-1094"/>
    <x v="2"/>
    <x v="2"/>
    <x v="0"/>
    <x v="1"/>
    <x v="1"/>
    <n v="50.45"/>
    <n v="6"/>
    <n v="15.135"/>
    <n v="317.83499999999998"/>
    <s v="02-06-2019"/>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s v="02-05-2019"/>
    <d v="1899-12-30T10:17:00"/>
    <x v="1"/>
    <n v="283.62"/>
    <n v="4.7619047620000003"/>
    <n v="14.180999999999999"/>
    <n v="8.8000000000000007"/>
  </r>
  <r>
    <s v="725-54-0677"/>
    <x v="1"/>
    <x v="1"/>
    <x v="0"/>
    <x v="1"/>
    <x v="0"/>
    <n v="85.6"/>
    <n v="7"/>
    <n v="29.96"/>
    <n v="629.16"/>
    <s v="03-02-2019"/>
    <d v="1899-12-30T13:50:00"/>
    <x v="1"/>
    <n v="599.20000000000005"/>
    <n v="4.7619047620000003"/>
    <n v="29.96"/>
    <n v="5.3"/>
  </r>
  <r>
    <s v="146-09-5432"/>
    <x v="0"/>
    <x v="0"/>
    <x v="0"/>
    <x v="1"/>
    <x v="4"/>
    <n v="35.04"/>
    <n v="9"/>
    <n v="15.768000000000001"/>
    <n v="331.12799999999999"/>
    <s v="02-09-2019"/>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s v="02-09-2019"/>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s v="02-09-2019"/>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s v="02-07-2019"/>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s v="02-02-2019"/>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s v="03-11-2019"/>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s v="03-02-2019"/>
    <d v="1899-12-30T12:36:00"/>
    <x v="0"/>
    <n v="78.78"/>
    <n v="4.7619047620000003"/>
    <n v="3.9390000000000001"/>
    <n v="6.3"/>
  </r>
  <r>
    <s v="246-55-6923"/>
    <x v="1"/>
    <x v="1"/>
    <x v="0"/>
    <x v="0"/>
    <x v="2"/>
    <n v="35.79"/>
    <n v="9"/>
    <n v="16.105499999999999"/>
    <n v="338.21550000000002"/>
    <s v="03-10-2019"/>
    <d v="1899-12-30T15:06:00"/>
    <x v="2"/>
    <n v="322.11"/>
    <n v="4.7619047620000003"/>
    <n v="16.105499999999999"/>
    <n v="5.0999999999999996"/>
  </r>
  <r>
    <s v="181-82-6255"/>
    <x v="2"/>
    <x v="2"/>
    <x v="1"/>
    <x v="0"/>
    <x v="2"/>
    <n v="16.37"/>
    <n v="6"/>
    <n v="4.9109999999999996"/>
    <n v="103.131"/>
    <s v="02-08-201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s v="01-10-201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s v="01-10-201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s v="03-02-201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s v="02-02-2019"/>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s v="01-03-2019"/>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s v="01-05-2019"/>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s v="03-02-201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s v="01-05-2019"/>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s v="02-03-2019"/>
    <d v="1899-12-30T20:13:00"/>
    <x v="0"/>
    <n v="53.78"/>
    <n v="4.7619047620000003"/>
    <n v="2.6890000000000001"/>
    <n v="4.7"/>
  </r>
  <r>
    <s v="373-88-1424"/>
    <x v="1"/>
    <x v="1"/>
    <x v="0"/>
    <x v="1"/>
    <x v="2"/>
    <n v="35.81"/>
    <n v="5"/>
    <n v="8.9525000000000006"/>
    <n v="188.0025"/>
    <s v="02-06-2019"/>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s v="01-09-201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s v="02-09-2019"/>
    <d v="1899-12-30T11:45:00"/>
    <x v="1"/>
    <n v="395.46"/>
    <n v="4.7619047620000003"/>
    <n v="19.773"/>
    <n v="5.7"/>
  </r>
  <r>
    <s v="846-10-0341"/>
    <x v="0"/>
    <x v="0"/>
    <x v="1"/>
    <x v="0"/>
    <x v="5"/>
    <n v="42.57"/>
    <n v="7"/>
    <n v="14.8995"/>
    <n v="312.8895"/>
    <s v="01-06-2019"/>
    <d v="1899-12-30T11:51:00"/>
    <x v="1"/>
    <n v="297.99"/>
    <n v="4.7619047620000003"/>
    <n v="14.8995"/>
    <n v="6.8"/>
  </r>
  <r>
    <s v="577-34-7579"/>
    <x v="1"/>
    <x v="1"/>
    <x v="0"/>
    <x v="1"/>
    <x v="4"/>
    <n v="50.49"/>
    <n v="9"/>
    <n v="22.720500000000001"/>
    <n v="477.13049999999998"/>
    <s v="01-10-2019"/>
    <d v="1899-12-30T17:16:00"/>
    <x v="1"/>
    <n v="454.41"/>
    <n v="4.7619047620000003"/>
    <n v="22.720500000000001"/>
    <n v="5.4"/>
  </r>
  <r>
    <s v="430-02-3888"/>
    <x v="2"/>
    <x v="2"/>
    <x v="1"/>
    <x v="1"/>
    <x v="1"/>
    <n v="46.02"/>
    <n v="6"/>
    <n v="13.805999999999999"/>
    <n v="289.92599999999999"/>
    <s v="02-07-2019"/>
    <d v="1899-12-30T15:55:00"/>
    <x v="1"/>
    <n v="276.12"/>
    <n v="4.7619047620000003"/>
    <n v="13.805999999999999"/>
    <n v="7.1"/>
  </r>
  <r>
    <s v="867-47-1948"/>
    <x v="1"/>
    <x v="1"/>
    <x v="1"/>
    <x v="0"/>
    <x v="2"/>
    <n v="15.8"/>
    <n v="10"/>
    <n v="7.9"/>
    <n v="165.9"/>
    <s v="01-09-201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s v="02-05-2019"/>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s v="03-02-2019"/>
    <d v="1899-12-30T18:18:00"/>
    <x v="2"/>
    <n v="76.540000000000006"/>
    <n v="4.7619047620000003"/>
    <n v="3.827"/>
    <n v="5.8"/>
  </r>
  <r>
    <s v="558-60-5016"/>
    <x v="0"/>
    <x v="0"/>
    <x v="1"/>
    <x v="0"/>
    <x v="2"/>
    <n v="33.299999999999997"/>
    <n v="9"/>
    <n v="14.984999999999999"/>
    <n v="314.685"/>
    <s v="03-04-2019"/>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s v="03-11-2019"/>
    <d v="1899-12-30T19:44:00"/>
    <x v="2"/>
    <n v="172.45"/>
    <n v="4.7619047620000003"/>
    <n v="8.6225000000000005"/>
    <n v="9"/>
  </r>
  <r>
    <s v="746-04-1077"/>
    <x v="2"/>
    <x v="2"/>
    <x v="0"/>
    <x v="0"/>
    <x v="4"/>
    <n v="84.63"/>
    <n v="10"/>
    <n v="42.314999999999998"/>
    <n v="888.61500000000001"/>
    <s v="01-01-2019"/>
    <d v="1899-12-30T11:36:00"/>
    <x v="2"/>
    <n v="846.3"/>
    <n v="4.7619047620000003"/>
    <n v="42.314999999999998"/>
    <n v="9"/>
  </r>
  <r>
    <s v="448-34-8700"/>
    <x v="2"/>
    <x v="2"/>
    <x v="0"/>
    <x v="1"/>
    <x v="2"/>
    <n v="36.909999999999997"/>
    <n v="7"/>
    <n v="12.9185"/>
    <n v="271.2885"/>
    <s v="02-10-2019"/>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s v="02-11-2019"/>
    <d v="1899-12-30T15:29:00"/>
    <x v="1"/>
    <n v="240.24"/>
    <n v="4.7619047620000003"/>
    <n v="12.012"/>
    <n v="5.4"/>
  </r>
  <r>
    <s v="744-82-9138"/>
    <x v="1"/>
    <x v="1"/>
    <x v="1"/>
    <x v="1"/>
    <x v="5"/>
    <n v="86.13"/>
    <n v="2"/>
    <n v="8.6129999999999995"/>
    <n v="180.87299999999999"/>
    <s v="02-07-2019"/>
    <d v="1899-12-30T17:59:00"/>
    <x v="1"/>
    <n v="172.26"/>
    <n v="4.7619047620000003"/>
    <n v="8.6129999999999995"/>
    <n v="8.1999999999999993"/>
  </r>
  <r>
    <s v="883-69-1285"/>
    <x v="2"/>
    <x v="2"/>
    <x v="0"/>
    <x v="1"/>
    <x v="5"/>
    <n v="49.92"/>
    <n v="2"/>
    <n v="4.992"/>
    <n v="104.83199999999999"/>
    <s v="03-06-2019"/>
    <d v="1899-12-30T11:55:00"/>
    <x v="2"/>
    <n v="99.84"/>
    <n v="4.7619047620000003"/>
    <n v="4.992"/>
    <n v="7"/>
  </r>
  <r>
    <s v="221-25-5073"/>
    <x v="0"/>
    <x v="0"/>
    <x v="1"/>
    <x v="0"/>
    <x v="4"/>
    <n v="74.66"/>
    <n v="4"/>
    <n v="14.932"/>
    <n v="313.572"/>
    <s v="03-04-2019"/>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s v="03-10-2019"/>
    <d v="1899-12-30T18:10:00"/>
    <x v="2"/>
    <n v="25.45"/>
    <n v="4.7619047620000003"/>
    <n v="1.2725"/>
    <n v="5.0999999999999996"/>
  </r>
  <r>
    <s v="151-33-7434"/>
    <x v="2"/>
    <x v="2"/>
    <x v="1"/>
    <x v="0"/>
    <x v="4"/>
    <n v="67.77"/>
    <n v="1"/>
    <n v="3.3885000000000001"/>
    <n v="71.158500000000004"/>
    <s v="02-04-2019"/>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s v="01-09-2019"/>
    <d v="1899-12-30T11:40:00"/>
    <x v="1"/>
    <n v="674.59"/>
    <n v="4.7619047620000003"/>
    <n v="33.729500000000002"/>
    <n v="6"/>
  </r>
  <r>
    <s v="374-38-5555"/>
    <x v="2"/>
    <x v="2"/>
    <x v="1"/>
    <x v="0"/>
    <x v="5"/>
    <n v="63.71"/>
    <n v="5"/>
    <n v="15.9275"/>
    <n v="334.47750000000002"/>
    <s v="02-07-2019"/>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s v="01-03-2019"/>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s v="03-10-2019"/>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s v="03-02-2019"/>
    <d v="1899-12-30T17:16:00"/>
    <x v="0"/>
    <n v="973.8"/>
    <n v="4.7619047620000003"/>
    <n v="48.69"/>
    <n v="4.4000000000000004"/>
  </r>
  <r>
    <s v="727-02-1313"/>
    <x v="0"/>
    <x v="0"/>
    <x v="0"/>
    <x v="1"/>
    <x v="4"/>
    <n v="31.84"/>
    <n v="1"/>
    <n v="1.5920000000000001"/>
    <n v="33.432000000000002"/>
    <s v="02-09-2019"/>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724EE4-8361-4987-B838-279BBF2860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7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20392D-92C2-4FC8-B099-621DAD6FDD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v="3"/>
    </i>
    <i>
      <x v="4"/>
    </i>
    <i>
      <x v="1"/>
    </i>
    <i>
      <x/>
    </i>
    <i>
      <x v="5"/>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70">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2">
          <reference field="4294967294" count="1" selected="0">
            <x v="0"/>
          </reference>
          <reference field="5" count="1" selected="0">
            <x v="4"/>
          </reference>
        </references>
      </pivotArea>
    </chartFormat>
    <chartFormat chart="7" format="27">
      <pivotArea type="data" outline="0" fieldPosition="0">
        <references count="2">
          <reference field="4294967294" count="1" selected="0">
            <x v="0"/>
          </reference>
          <reference field="5" count="1" selected="0">
            <x v="1"/>
          </reference>
        </references>
      </pivotArea>
    </chartFormat>
    <chartFormat chart="7" format="28">
      <pivotArea type="data" outline="0" fieldPosition="0">
        <references count="2">
          <reference field="4294967294" count="1" selected="0">
            <x v="0"/>
          </reference>
          <reference field="5" count="1" selected="0">
            <x v="0"/>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2"/>
          </reference>
        </references>
      </pivotArea>
    </chartFormat>
    <chartFormat chart="7" format="31" series="1">
      <pivotArea type="data" outline="0" fieldPosition="0">
        <references count="1">
          <reference field="4294967294" count="1" selected="0">
            <x v="1"/>
          </reference>
        </references>
      </pivotArea>
    </chartFormat>
    <chartFormat chart="7" format="32">
      <pivotArea type="data" outline="0" fieldPosition="0">
        <references count="2">
          <reference field="4294967294" count="1" selected="0">
            <x v="1"/>
          </reference>
          <reference field="5" count="1" selected="0">
            <x v="3"/>
          </reference>
        </references>
      </pivotArea>
    </chartFormat>
    <chartFormat chart="7" format="33">
      <pivotArea type="data" outline="0" fieldPosition="0">
        <references count="2">
          <reference field="4294967294" count="1" selected="0">
            <x v="1"/>
          </reference>
          <reference field="5" count="1" selected="0">
            <x v="4"/>
          </reference>
        </references>
      </pivotArea>
    </chartFormat>
    <chartFormat chart="7" format="34">
      <pivotArea type="data" outline="0" fieldPosition="0">
        <references count="2">
          <reference field="4294967294" count="1" selected="0">
            <x v="1"/>
          </reference>
          <reference field="5" count="1" selected="0">
            <x v="1"/>
          </reference>
        </references>
      </pivotArea>
    </chartFormat>
    <chartFormat chart="7" format="35">
      <pivotArea type="data" outline="0" fieldPosition="0">
        <references count="2">
          <reference field="4294967294" count="1" selected="0">
            <x v="1"/>
          </reference>
          <reference field="5" count="1" selected="0">
            <x v="0"/>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2"/>
          </reference>
        </references>
      </pivotArea>
    </chartFormat>
    <chartFormat chart="7" format="38" series="1">
      <pivotArea type="data" outline="0" fieldPosition="0">
        <references count="1">
          <reference field="4294967294" count="1" selected="0">
            <x v="2"/>
          </reference>
        </references>
      </pivotArea>
    </chartFormat>
    <chartFormat chart="7" format="39">
      <pivotArea type="data" outline="0" fieldPosition="0">
        <references count="2">
          <reference field="4294967294" count="1" selected="0">
            <x v="2"/>
          </reference>
          <reference field="5" count="1" selected="0">
            <x v="3"/>
          </reference>
        </references>
      </pivotArea>
    </chartFormat>
    <chartFormat chart="7" format="40">
      <pivotArea type="data" outline="0" fieldPosition="0">
        <references count="2">
          <reference field="4294967294" count="1" selected="0">
            <x v="2"/>
          </reference>
          <reference field="5" count="1" selected="0">
            <x v="4"/>
          </reference>
        </references>
      </pivotArea>
    </chartFormat>
    <chartFormat chart="7" format="41">
      <pivotArea type="data" outline="0" fieldPosition="0">
        <references count="2">
          <reference field="4294967294" count="1" selected="0">
            <x v="2"/>
          </reference>
          <reference field="5" count="1" selected="0">
            <x v="1"/>
          </reference>
        </references>
      </pivotArea>
    </chartFormat>
    <chartFormat chart="7" format="42">
      <pivotArea type="data" outline="0" fieldPosition="0">
        <references count="2">
          <reference field="4294967294" count="1" selected="0">
            <x v="2"/>
          </reference>
          <reference field="5" count="1" selected="0">
            <x v="0"/>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0"/>
          </reference>
          <reference field="5" count="1" selected="0">
            <x v="0"/>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2"/>
          </reference>
        </references>
      </pivotArea>
    </chartFormat>
    <chartFormat chart="0" format="9">
      <pivotArea type="data" outline="0" fieldPosition="0">
        <references count="2">
          <reference field="4294967294" count="1" selected="0">
            <x v="1"/>
          </reference>
          <reference field="5" count="1" selected="0">
            <x v="3"/>
          </reference>
        </references>
      </pivotArea>
    </chartFormat>
    <chartFormat chart="0" format="10">
      <pivotArea type="data" outline="0" fieldPosition="0">
        <references count="2">
          <reference field="4294967294" count="1" selected="0">
            <x v="1"/>
          </reference>
          <reference field="5" count="1" selected="0">
            <x v="4"/>
          </reference>
        </references>
      </pivotArea>
    </chartFormat>
    <chartFormat chart="0" format="11">
      <pivotArea type="data" outline="0" fieldPosition="0">
        <references count="2">
          <reference field="4294967294" count="1" selected="0">
            <x v="1"/>
          </reference>
          <reference field="5" count="1" selected="0">
            <x v="1"/>
          </reference>
        </references>
      </pivotArea>
    </chartFormat>
    <chartFormat chart="0" format="12">
      <pivotArea type="data" outline="0" fieldPosition="0">
        <references count="2">
          <reference field="4294967294" count="1" selected="0">
            <x v="1"/>
          </reference>
          <reference field="5" count="1" selected="0">
            <x v="0"/>
          </reference>
        </references>
      </pivotArea>
    </chartFormat>
    <chartFormat chart="0" format="13">
      <pivotArea type="data" outline="0" fieldPosition="0">
        <references count="2">
          <reference field="4294967294" count="1" selected="0">
            <x v="1"/>
          </reference>
          <reference field="5" count="1" selected="0">
            <x v="5"/>
          </reference>
        </references>
      </pivotArea>
    </chartFormat>
    <chartFormat chart="0" format="14">
      <pivotArea type="data" outline="0" fieldPosition="0">
        <references count="2">
          <reference field="4294967294" count="1" selected="0">
            <x v="1"/>
          </reference>
          <reference field="5" count="1" selected="0">
            <x v="2"/>
          </reference>
        </references>
      </pivotArea>
    </chartFormat>
    <chartFormat chart="0" format="15">
      <pivotArea type="data" outline="0" fieldPosition="0">
        <references count="2">
          <reference field="4294967294" count="1" selected="0">
            <x v="2"/>
          </reference>
          <reference field="5" count="1" selected="0">
            <x v="3"/>
          </reference>
        </references>
      </pivotArea>
    </chartFormat>
    <chartFormat chart="0" format="16">
      <pivotArea type="data" outline="0" fieldPosition="0">
        <references count="2">
          <reference field="4294967294" count="1" selected="0">
            <x v="2"/>
          </reference>
          <reference field="5" count="1" selected="0">
            <x v="4"/>
          </reference>
        </references>
      </pivotArea>
    </chartFormat>
    <chartFormat chart="0" format="17">
      <pivotArea type="data" outline="0" fieldPosition="0">
        <references count="2">
          <reference field="4294967294" count="1" selected="0">
            <x v="2"/>
          </reference>
          <reference field="5" count="1" selected="0">
            <x v="1"/>
          </reference>
        </references>
      </pivotArea>
    </chartFormat>
    <chartFormat chart="0" format="18">
      <pivotArea type="data" outline="0" fieldPosition="0">
        <references count="2">
          <reference field="4294967294" count="1" selected="0">
            <x v="2"/>
          </reference>
          <reference field="5" count="1" selected="0">
            <x v="0"/>
          </reference>
        </references>
      </pivotArea>
    </chartFormat>
    <chartFormat chart="0" format="19">
      <pivotArea type="data" outline="0" fieldPosition="0">
        <references count="2">
          <reference field="4294967294" count="1" selected="0">
            <x v="2"/>
          </reference>
          <reference field="5" count="1" selected="0">
            <x v="5"/>
          </reference>
        </references>
      </pivotArea>
    </chartFormat>
    <chartFormat chart="0" format="20">
      <pivotArea type="data" outline="0" fieldPosition="0">
        <references count="2">
          <reference field="4294967294"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99540-5D5D-4E48-8D06-419E6D937F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3B2370-F9AF-4A38-9598-8BE4A332DC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17">
    <pivotField showAll="0"/>
    <pivotField showAll="0"/>
    <pivotField axis="axisRow" dataField="1"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Count of City" fld="2" subtotal="count" baseField="0" baseItem="0"/>
  </dataFields>
  <formats count="1">
    <format dxfId="69">
      <pivotArea collapsedLevelsAreSubtotals="1" fieldPosition="0">
        <references count="2">
          <reference field="4294967294" count="1" selected="0">
            <x v="0"/>
          </reference>
          <reference field="2" count="0"/>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2" count="1" selected="0">
            <x v="0"/>
          </reference>
        </references>
      </pivotArea>
    </chartFormat>
    <chartFormat chart="5" format="16">
      <pivotArea type="data" outline="0" fieldPosition="0">
        <references count="2">
          <reference field="4294967294" count="1" selected="0">
            <x v="1"/>
          </reference>
          <reference field="2" count="1" selected="0">
            <x v="1"/>
          </reference>
        </references>
      </pivotArea>
    </chartFormat>
    <chartFormat chart="5" format="17">
      <pivotArea type="data" outline="0" fieldPosition="0">
        <references count="2">
          <reference field="4294967294" count="1" selected="0">
            <x v="1"/>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 chart="0" format="6">
      <pivotArea type="data" outline="0" fieldPosition="0">
        <references count="2">
          <reference field="4294967294" count="1" selected="0">
            <x v="1"/>
          </reference>
          <reference field="2" count="1" selected="0">
            <x v="1"/>
          </reference>
        </references>
      </pivotArea>
    </chartFormat>
    <chartFormat chart="0"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9B4013-0676-47E3-BA5C-83E730AC5B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v="3"/>
    </i>
    <i>
      <x v="4"/>
    </i>
    <i>
      <x v="1"/>
    </i>
    <i>
      <x/>
    </i>
    <i>
      <x v="5"/>
    </i>
    <i>
      <x v="2"/>
    </i>
    <i t="grand">
      <x/>
    </i>
  </rowItems>
  <colItems count="1">
    <i/>
  </colItems>
  <dataFields count="1">
    <dataField name="Sum of Total" fld="9" baseField="0" baseItem="0"/>
  </dataFields>
  <formats count="2">
    <format dxfId="68">
      <pivotArea collapsedLevelsAreSubtotals="1" fieldPosition="0">
        <references count="1">
          <reference field="5" count="0"/>
        </references>
      </pivotArea>
    </format>
    <format dxfId="67">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105897-A984-45B5-997A-82651C6FC1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numFmtId="165"/>
  </dataFields>
  <formats count="1">
    <format dxfId="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556BC2-2B79-4AEB-90FA-4237F59842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4CD00F-B800-428D-9A77-6F80EAD7A93B}"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68E0F4-572D-49EF-91EF-14B855034EE7}" sourceName="Gender">
  <pivotTables>
    <pivotTable tabId="4" name="PivotTable2"/>
    <pivotTable tabId="3" name="PivotTable1"/>
    <pivotTable tabId="5" name="PivotTable3"/>
    <pivotTable tabId="6" name="PivotTable4"/>
    <pivotTable tabId="7" name="PivotTable5"/>
    <pivotTable tabId="8" name="PivotTable6"/>
    <pivotTable tabId="9" name="PivotTable7"/>
  </pivotTables>
  <data>
    <tabular pivotCacheId="1764032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4FFF8708-4E4A-4825-9120-B6013AB31F5C}" sourceName="Payment">
  <pivotTables>
    <pivotTable tabId="6" name="PivotTable4"/>
    <pivotTable tabId="3" name="PivotTable1"/>
    <pivotTable tabId="4" name="PivotTable2"/>
    <pivotTable tabId="5" name="PivotTable3"/>
    <pivotTable tabId="7" name="PivotTable5"/>
    <pivotTable tabId="8" name="PivotTable6"/>
    <pivotTable tabId="9" name="PivotTable7"/>
  </pivotTables>
  <data>
    <tabular pivotCacheId="17640324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B2E6321-27A3-47BD-BF87-A91FB0D32B5A}" sourceName="City">
  <pivotTables>
    <pivotTable tabId="7" name="PivotTable5"/>
    <pivotTable tabId="3" name="PivotTable1"/>
    <pivotTable tabId="4" name="PivotTable2"/>
    <pivotTable tabId="5" name="PivotTable3"/>
    <pivotTable tabId="6" name="PivotTable4"/>
    <pivotTable tabId="8" name="PivotTable6"/>
    <pivotTable tabId="9" name="PivotTable7"/>
  </pivotTables>
  <data>
    <tabular pivotCacheId="17640324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7330D86-B03B-4DA3-9B67-BB7B679621E0}" sourceName="Customer type">
  <pivotTables>
    <pivotTable tabId="7" name="PivotTable5"/>
    <pivotTable tabId="3" name="PivotTable1"/>
    <pivotTable tabId="4" name="PivotTable2"/>
    <pivotTable tabId="5" name="PivotTable3"/>
    <pivotTable tabId="6" name="PivotTable4"/>
    <pivotTable tabId="8" name="PivotTable6"/>
    <pivotTable tabId="9" name="PivotTable7"/>
  </pivotTables>
  <data>
    <tabular pivotCacheId="17640324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70390673-813E-4F43-B10F-4674DC9E5B01}" sourceName="Product line">
  <pivotTables>
    <pivotTable tabId="5" name="PivotTable3"/>
    <pivotTable tabId="3" name="PivotTable1"/>
    <pivotTable tabId="4" name="PivotTable2"/>
    <pivotTable tabId="6" name="PivotTable4"/>
    <pivotTable tabId="7" name="PivotTable5"/>
    <pivotTable tabId="8" name="PivotTable6"/>
    <pivotTable tabId="9" name="PivotTable7"/>
  </pivotTables>
  <data>
    <tabular pivotCacheId="176403246">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2C7156-7E45-4C6A-A3D7-450A0DE8A999}"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1D67B815-5D3B-4498-9D23-61328603E00C}"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6F28B1AA-8441-4147-BDE0-EF8B61D87EB2}" cache="Slicer_Payment" caption="Paymen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C70116C-3D66-428B-8033-1B2D0D6E7904}" cache="Slicer_City" caption="City" rowHeight="241300"/>
  <slicer name="Customer type" xr10:uid="{9008BF47-0D21-46DB-A751-7B45EB390522}" cache="Slicer_Customer_type" caption="Customer typ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C9A3066-B087-4583-AC14-550A10C52E03}" cache="Slicer_Gender" caption="Gender" rowHeight="241300"/>
  <slicer name="Payment 1" xr10:uid="{28CF58AA-2C3D-46A5-820F-FDED1BB95F45}" cache="Slicer_Payment" caption="Payment" rowHeight="241300"/>
  <slicer name="City 1" xr10:uid="{7B20778F-A84D-408C-BFE3-8B714C068BD7}" cache="Slicer_City" caption="City" rowHeight="241300"/>
  <slicer name="Customer type 1" xr10:uid="{2BD29159-B1F6-404A-964A-D338F217A111}" cache="Slicer_Customer_type" caption="Customer type" rowHeight="241300"/>
  <slicer name="Product line 1" xr10:uid="{1F10C6DB-FA74-4801-9890-5B4A87B227ED}" cache="Slicer_Product_line" caption="Product lin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86F64C-5FEB-4280-91F9-EFB99ADBD2E5}" name="Dashboad" displayName="Dashboad" ref="A1:Q1001" tableType="queryTable" totalsRowShown="0">
  <autoFilter ref="A1:Q1001" xr:uid="{E586F64C-5FEB-4280-91F9-EFB99ADBD2E5}"/>
  <tableColumns count="17">
    <tableColumn id="1" xr3:uid="{451181AB-6F16-4DA5-9BE9-1E4CD48034B2}" uniqueName="1" name="Invoice ID" queryTableFieldId="1" dataDxfId="64"/>
    <tableColumn id="2" xr3:uid="{4705994B-0CFC-4F08-867F-B37675A8DD1C}" uniqueName="2" name="Branch" queryTableFieldId="2" dataDxfId="63"/>
    <tableColumn id="3" xr3:uid="{A3443FCE-D5B6-4691-8DE1-DC5DF42B5963}" uniqueName="3" name="City" queryTableFieldId="3" dataDxfId="62"/>
    <tableColumn id="4" xr3:uid="{AEFBDF16-AF20-46F2-9757-2AA7ABB2A6F9}" uniqueName="4" name="Customer type" queryTableFieldId="4" dataDxfId="61"/>
    <tableColumn id="5" xr3:uid="{FC57C9FF-C814-4E62-BC61-090B428689C2}" uniqueName="5" name="Gender" queryTableFieldId="5" dataDxfId="60"/>
    <tableColumn id="6" xr3:uid="{E7EEB25E-8A99-4BDE-973B-B9104309D41A}" uniqueName="6" name="Product line" queryTableFieldId="6" dataDxfId="59"/>
    <tableColumn id="7" xr3:uid="{F75D0EC1-D064-4914-B65A-D412375881C7}" uniqueName="7" name="Unit price" queryTableFieldId="7"/>
    <tableColumn id="8" xr3:uid="{6739A9DB-4BB2-4B1C-9742-B760BC5DA2E5}" uniqueName="8" name="Quantity" queryTableFieldId="8"/>
    <tableColumn id="9" xr3:uid="{BC939338-012D-43F3-80AA-978E3A8B3792}" uniqueName="9" name="Tax 5%" queryTableFieldId="9"/>
    <tableColumn id="10" xr3:uid="{8E38B066-6D30-4FFB-B033-7BC6AD72A742}" uniqueName="10" name="Total" queryTableFieldId="10"/>
    <tableColumn id="11" xr3:uid="{52DA36E2-CAC8-4110-93F8-6F8F0161CB04}" uniqueName="11" name="Date" queryTableFieldId="11" dataDxfId="58"/>
    <tableColumn id="12" xr3:uid="{8DF9EB76-DC97-4F81-9BCE-04A44705CFFB}" uniqueName="12" name="Time" queryTableFieldId="12" dataDxfId="57"/>
    <tableColumn id="13" xr3:uid="{7B06E455-D764-41FC-B308-EF89C24459BB}" uniqueName="13" name="Payment" queryTableFieldId="13" dataDxfId="56"/>
    <tableColumn id="14" xr3:uid="{579CCDAE-DD01-45D9-BE29-3A975B251B93}" uniqueName="14" name="cogs" queryTableFieldId="14"/>
    <tableColumn id="15" xr3:uid="{F0173AA3-9F3E-46C8-81C8-2FF2B48067E1}" uniqueName="15" name="gross margin percentage" queryTableFieldId="15"/>
    <tableColumn id="16" xr3:uid="{1009F679-966A-49AA-9A19-CC6CB2EBD371}" uniqueName="16" name="gross income" queryTableFieldId="16"/>
    <tableColumn id="17" xr3:uid="{382FDBA1-0653-4F06-8825-5E948E4D791D}" uniqueName="17" name="Ratin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ECA31-12A4-4518-8993-A14973C1659C}">
  <dimension ref="A3:D7"/>
  <sheetViews>
    <sheetView zoomScale="130" zoomScaleNormal="130" workbookViewId="0">
      <selection activeCell="J2" sqref="J2"/>
    </sheetView>
  </sheetViews>
  <sheetFormatPr defaultRowHeight="15" x14ac:dyDescent="0.25"/>
  <cols>
    <col min="1" max="1" width="13.140625" bestFit="1" customWidth="1"/>
    <col min="2" max="2" width="12" bestFit="1" customWidth="1"/>
    <col min="3" max="3" width="13.7109375" bestFit="1" customWidth="1"/>
    <col min="4" max="4" width="16.42578125" bestFit="1" customWidth="1"/>
  </cols>
  <sheetData>
    <row r="3" spans="1:4" x14ac:dyDescent="0.25">
      <c r="A3" s="2" t="s">
        <v>1125</v>
      </c>
      <c r="B3" t="s">
        <v>1127</v>
      </c>
      <c r="C3" t="s">
        <v>1128</v>
      </c>
      <c r="D3" t="s">
        <v>1129</v>
      </c>
    </row>
    <row r="4" spans="1:4" x14ac:dyDescent="0.25">
      <c r="A4" s="3" t="s">
        <v>18</v>
      </c>
      <c r="B4" s="4">
        <v>106200.37050000011</v>
      </c>
      <c r="C4" s="4">
        <v>5057.1605000000018</v>
      </c>
      <c r="D4" s="4">
        <v>18625.489999999998</v>
      </c>
    </row>
    <row r="5" spans="1:4" x14ac:dyDescent="0.25">
      <c r="A5" s="3" t="s">
        <v>51</v>
      </c>
      <c r="B5" s="4">
        <v>106197.67199999996</v>
      </c>
      <c r="C5" s="4">
        <v>5057.0320000000029</v>
      </c>
      <c r="D5" s="4">
        <v>18478.88</v>
      </c>
    </row>
    <row r="6" spans="1:4" x14ac:dyDescent="0.25">
      <c r="A6" s="3" t="s">
        <v>26</v>
      </c>
      <c r="B6" s="4">
        <v>110568.70649999994</v>
      </c>
      <c r="C6" s="4">
        <v>5265.1765000000023</v>
      </c>
      <c r="D6" s="4">
        <v>18567.759999999998</v>
      </c>
    </row>
    <row r="7" spans="1:4" x14ac:dyDescent="0.25">
      <c r="A7" s="3" t="s">
        <v>1126</v>
      </c>
      <c r="B7" s="4">
        <v>322966.74900000001</v>
      </c>
      <c r="C7" s="4">
        <v>15379.369000000006</v>
      </c>
      <c r="D7" s="4">
        <v>55672.12999999999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238E-A463-472E-B23A-A16C28DA87D8}">
  <dimension ref="A3:D10"/>
  <sheetViews>
    <sheetView zoomScale="130" zoomScaleNormal="130" workbookViewId="0">
      <selection activeCell="F7" sqref="F7"/>
    </sheetView>
  </sheetViews>
  <sheetFormatPr defaultRowHeight="15" x14ac:dyDescent="0.25"/>
  <cols>
    <col min="1" max="1" width="20.42578125" bestFit="1" customWidth="1"/>
    <col min="2" max="2" width="12" bestFit="1" customWidth="1"/>
    <col min="3" max="3" width="13.7109375" bestFit="1" customWidth="1"/>
    <col min="4" max="4" width="16.42578125" bestFit="1" customWidth="1"/>
  </cols>
  <sheetData>
    <row r="3" spans="1:4" x14ac:dyDescent="0.25">
      <c r="A3" s="2" t="s">
        <v>1125</v>
      </c>
      <c r="B3" t="s">
        <v>1127</v>
      </c>
      <c r="C3" t="s">
        <v>1128</v>
      </c>
      <c r="D3" t="s">
        <v>1129</v>
      </c>
    </row>
    <row r="4" spans="1:4" x14ac:dyDescent="0.25">
      <c r="A4" s="3" t="s">
        <v>22</v>
      </c>
      <c r="B4" s="4">
        <v>49193.739000000016</v>
      </c>
      <c r="C4" s="4">
        <v>2342.5589999999993</v>
      </c>
      <c r="D4" s="4">
        <v>8337.880000000001</v>
      </c>
    </row>
    <row r="5" spans="1:4" x14ac:dyDescent="0.25">
      <c r="A5" s="3" t="s">
        <v>34</v>
      </c>
      <c r="B5" s="4">
        <v>53861.913000000008</v>
      </c>
      <c r="C5" s="4">
        <v>2564.8530000000019</v>
      </c>
      <c r="D5" s="4">
        <v>8850.7099999999955</v>
      </c>
    </row>
    <row r="6" spans="1:4" x14ac:dyDescent="0.25">
      <c r="A6" s="3" t="s">
        <v>56</v>
      </c>
      <c r="B6" s="4">
        <v>54305.894999999997</v>
      </c>
      <c r="C6" s="4">
        <v>2585.9949999999999</v>
      </c>
      <c r="D6" s="4">
        <v>10173.349999999997</v>
      </c>
    </row>
    <row r="7" spans="1:4" x14ac:dyDescent="0.25">
      <c r="A7" s="3" t="s">
        <v>29</v>
      </c>
      <c r="B7" s="4">
        <v>54337.531500000005</v>
      </c>
      <c r="C7" s="4">
        <v>2587.5015000000017</v>
      </c>
      <c r="D7" s="4">
        <v>9103.7700000000059</v>
      </c>
    </row>
    <row r="8" spans="1:4" x14ac:dyDescent="0.25">
      <c r="A8" s="3" t="s">
        <v>40</v>
      </c>
      <c r="B8" s="4">
        <v>55122.826499999996</v>
      </c>
      <c r="C8" s="4">
        <v>2624.8964999999994</v>
      </c>
      <c r="D8" s="4">
        <v>9460.8799999999956</v>
      </c>
    </row>
    <row r="9" spans="1:4" x14ac:dyDescent="0.25">
      <c r="A9" s="3" t="s">
        <v>53</v>
      </c>
      <c r="B9" s="4">
        <v>56144.844000000005</v>
      </c>
      <c r="C9" s="4">
        <v>2673.5639999999994</v>
      </c>
      <c r="D9" s="4">
        <v>9745.5400000000063</v>
      </c>
    </row>
    <row r="10" spans="1:4" x14ac:dyDescent="0.25">
      <c r="A10" s="3" t="s">
        <v>1126</v>
      </c>
      <c r="B10" s="4">
        <v>322966.74900000007</v>
      </c>
      <c r="C10" s="4">
        <v>15379.369000000002</v>
      </c>
      <c r="D10" s="4">
        <v>55672.13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A957-698B-431F-A8CB-2EAB136E1874}">
  <dimension ref="A3:C7"/>
  <sheetViews>
    <sheetView zoomScale="160" zoomScaleNormal="160" workbookViewId="0">
      <selection activeCell="B6" sqref="B6"/>
    </sheetView>
  </sheetViews>
  <sheetFormatPr defaultRowHeight="15" x14ac:dyDescent="0.25"/>
  <cols>
    <col min="1" max="1" width="13.140625" bestFit="1" customWidth="1"/>
    <col min="2" max="2" width="12.7109375" bestFit="1" customWidth="1"/>
    <col min="3" max="4" width="19.42578125" bestFit="1" customWidth="1"/>
  </cols>
  <sheetData>
    <row r="3" spans="1:3" x14ac:dyDescent="0.25">
      <c r="A3" s="2" t="s">
        <v>1125</v>
      </c>
      <c r="B3" t="s">
        <v>1127</v>
      </c>
      <c r="C3" t="s">
        <v>1130</v>
      </c>
    </row>
    <row r="4" spans="1:3" x14ac:dyDescent="0.25">
      <c r="A4" s="3" t="s">
        <v>52</v>
      </c>
      <c r="B4" s="6">
        <v>106197.67199999996</v>
      </c>
      <c r="C4" s="6">
        <v>5057.0320000000029</v>
      </c>
    </row>
    <row r="5" spans="1:3" x14ac:dyDescent="0.25">
      <c r="A5" s="3" t="s">
        <v>27</v>
      </c>
      <c r="B5" s="6">
        <v>110568.70649999994</v>
      </c>
      <c r="C5" s="6">
        <v>5265.1765000000023</v>
      </c>
    </row>
    <row r="6" spans="1:3" x14ac:dyDescent="0.25">
      <c r="A6" s="3" t="s">
        <v>19</v>
      </c>
      <c r="B6" s="6">
        <v>106200.37050000011</v>
      </c>
      <c r="C6" s="6">
        <v>5057.1605000000018</v>
      </c>
    </row>
    <row r="7" spans="1:3" x14ac:dyDescent="0.25">
      <c r="A7" s="3" t="s">
        <v>1126</v>
      </c>
      <c r="B7" s="6">
        <v>322966.74900000001</v>
      </c>
      <c r="C7" s="6">
        <v>15379.369000000006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E60A-5DB8-48D9-8C87-C9394C5D9BA2}">
  <dimension ref="A3:C7"/>
  <sheetViews>
    <sheetView zoomScale="145" zoomScaleNormal="145" workbookViewId="0">
      <selection activeCell="B6" sqref="B6"/>
    </sheetView>
  </sheetViews>
  <sheetFormatPr defaultRowHeight="15" x14ac:dyDescent="0.25"/>
  <cols>
    <col min="1" max="1" width="13.140625" bestFit="1" customWidth="1"/>
    <col min="2" max="2" width="12" bestFit="1" customWidth="1"/>
    <col min="3" max="3" width="12.42578125" bestFit="1" customWidth="1"/>
  </cols>
  <sheetData>
    <row r="3" spans="1:3" x14ac:dyDescent="0.25">
      <c r="A3" s="2" t="s">
        <v>1125</v>
      </c>
      <c r="B3" t="s">
        <v>1127</v>
      </c>
      <c r="C3" t="s">
        <v>1131</v>
      </c>
    </row>
    <row r="4" spans="1:3" x14ac:dyDescent="0.25">
      <c r="A4" s="3" t="s">
        <v>52</v>
      </c>
      <c r="B4" s="4">
        <v>106197.67199999996</v>
      </c>
      <c r="C4" s="6">
        <v>332</v>
      </c>
    </row>
    <row r="5" spans="1:3" x14ac:dyDescent="0.25">
      <c r="A5" s="3" t="s">
        <v>27</v>
      </c>
      <c r="B5" s="4">
        <v>110568.70649999994</v>
      </c>
      <c r="C5" s="6">
        <v>328</v>
      </c>
    </row>
    <row r="6" spans="1:3" x14ac:dyDescent="0.25">
      <c r="A6" s="3" t="s">
        <v>19</v>
      </c>
      <c r="B6" s="4">
        <v>106200.37050000011</v>
      </c>
      <c r="C6" s="6">
        <v>340</v>
      </c>
    </row>
    <row r="7" spans="1:3" x14ac:dyDescent="0.25">
      <c r="A7" s="3" t="s">
        <v>1126</v>
      </c>
      <c r="B7" s="6">
        <v>322966.74899999966</v>
      </c>
      <c r="C7" s="6">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F432-CBB9-411B-B08A-79CC5155C562}">
  <dimension ref="A3:B10"/>
  <sheetViews>
    <sheetView zoomScale="160" zoomScaleNormal="160" workbookViewId="0">
      <selection activeCell="A7" sqref="A7"/>
    </sheetView>
  </sheetViews>
  <sheetFormatPr defaultRowHeight="15" x14ac:dyDescent="0.25"/>
  <cols>
    <col min="1" max="1" width="20.42578125" bestFit="1" customWidth="1"/>
    <col min="2" max="2" width="12" bestFit="1" customWidth="1"/>
  </cols>
  <sheetData>
    <row r="3" spans="1:2" x14ac:dyDescent="0.25">
      <c r="A3" s="2" t="s">
        <v>1125</v>
      </c>
      <c r="B3" t="s">
        <v>1127</v>
      </c>
    </row>
    <row r="4" spans="1:2" x14ac:dyDescent="0.25">
      <c r="A4" s="3" t="s">
        <v>22</v>
      </c>
      <c r="B4" s="5">
        <v>49193.739000000016</v>
      </c>
    </row>
    <row r="5" spans="1:2" x14ac:dyDescent="0.25">
      <c r="A5" s="3" t="s">
        <v>34</v>
      </c>
      <c r="B5" s="5">
        <v>53861.913000000008</v>
      </c>
    </row>
    <row r="6" spans="1:2" x14ac:dyDescent="0.25">
      <c r="A6" s="3" t="s">
        <v>56</v>
      </c>
      <c r="B6" s="5">
        <v>54305.894999999997</v>
      </c>
    </row>
    <row r="7" spans="1:2" x14ac:dyDescent="0.25">
      <c r="A7" s="3" t="s">
        <v>29</v>
      </c>
      <c r="B7" s="5">
        <v>54337.531500000005</v>
      </c>
    </row>
    <row r="8" spans="1:2" x14ac:dyDescent="0.25">
      <c r="A8" s="3" t="s">
        <v>40</v>
      </c>
      <c r="B8" s="5">
        <v>55122.826499999996</v>
      </c>
    </row>
    <row r="9" spans="1:2" x14ac:dyDescent="0.25">
      <c r="A9" s="3" t="s">
        <v>53</v>
      </c>
      <c r="B9" s="5">
        <v>56144.844000000005</v>
      </c>
    </row>
    <row r="10" spans="1:2" x14ac:dyDescent="0.25">
      <c r="A10" s="3" t="s">
        <v>1126</v>
      </c>
      <c r="B10" s="4">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725C-FFD7-4567-8FFA-0BEDBC5C3025}">
  <dimension ref="A3:B6"/>
  <sheetViews>
    <sheetView zoomScale="190" zoomScaleNormal="190" workbookViewId="0">
      <selection activeCell="J2" sqref="J2"/>
    </sheetView>
  </sheetViews>
  <sheetFormatPr defaultRowHeight="15" x14ac:dyDescent="0.25"/>
  <cols>
    <col min="1" max="1" width="13.140625" bestFit="1" customWidth="1"/>
    <col min="2" max="2" width="12" bestFit="1" customWidth="1"/>
  </cols>
  <sheetData>
    <row r="3" spans="1:2" x14ac:dyDescent="0.25">
      <c r="A3" s="2" t="s">
        <v>1125</v>
      </c>
      <c r="B3" t="s">
        <v>1127</v>
      </c>
    </row>
    <row r="4" spans="1:2" x14ac:dyDescent="0.25">
      <c r="A4" s="3" t="s">
        <v>20</v>
      </c>
      <c r="B4" s="4">
        <v>164223.44400000002</v>
      </c>
    </row>
    <row r="5" spans="1:2" x14ac:dyDescent="0.25">
      <c r="A5" s="3" t="s">
        <v>28</v>
      </c>
      <c r="B5" s="4">
        <v>158743.30500000005</v>
      </c>
    </row>
    <row r="6" spans="1:2" x14ac:dyDescent="0.25">
      <c r="A6" s="3" t="s">
        <v>1126</v>
      </c>
      <c r="B6" s="4">
        <v>322966.74900000007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325D-2051-4673-AEAE-551335460B95}">
  <dimension ref="A3:D4"/>
  <sheetViews>
    <sheetView topLeftCell="A2" zoomScale="190" zoomScaleNormal="190" workbookViewId="0">
      <selection activeCell="D11" sqref="D11"/>
    </sheetView>
  </sheetViews>
  <sheetFormatPr defaultRowHeight="15" x14ac:dyDescent="0.25"/>
  <cols>
    <col min="1" max="1" width="12" bestFit="1" customWidth="1"/>
    <col min="2" max="2" width="13.7109375" bestFit="1" customWidth="1"/>
    <col min="3" max="3" width="15.42578125" bestFit="1" customWidth="1"/>
    <col min="4" max="4" width="16.42578125" bestFit="1" customWidth="1"/>
  </cols>
  <sheetData>
    <row r="3" spans="1:4" x14ac:dyDescent="0.25">
      <c r="A3" t="s">
        <v>1127</v>
      </c>
      <c r="B3" t="s">
        <v>1128</v>
      </c>
      <c r="C3" t="s">
        <v>1132</v>
      </c>
      <c r="D3" t="s">
        <v>1129</v>
      </c>
    </row>
    <row r="4" spans="1:4" x14ac:dyDescent="0.25">
      <c r="A4" s="4">
        <v>322966.74900000007</v>
      </c>
      <c r="B4" s="4">
        <v>15379.369000000002</v>
      </c>
      <c r="C4" s="4">
        <v>5510</v>
      </c>
      <c r="D4" s="4">
        <v>55672.129999999983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41C8-7375-4200-A1BB-23F89B0FA65A}">
  <dimension ref="A1:Q1001"/>
  <sheetViews>
    <sheetView topLeftCell="A2" workbookViewId="0">
      <selection sqref="A1:Q100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10.42578125" bestFit="1" customWidth="1"/>
    <col min="12" max="12" width="8.140625" bestFit="1"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25">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25">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25">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25">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25">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25">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25">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25">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25">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25">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25">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25">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25">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25">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25">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25">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25">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25">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25">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25">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25">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25">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25">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25">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25">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25">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25">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25">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25">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25">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25">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25">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25">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25">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25">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25">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25">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25">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25">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25">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25">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25">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25">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25">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25">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25">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25">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25">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25">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25">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25">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25">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25">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25">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25">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25">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25">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25">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25">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25">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25">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25">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25">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25">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25">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25">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25">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25">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25">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25">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25">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25">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25">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25">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25">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25">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25">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25">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25">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25">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25">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25">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25">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25">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25">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25">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25">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25">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25">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25">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25">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25">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25">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25">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25">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25">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25">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25">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25">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25">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25">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25">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25">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25">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25">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25">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25">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25">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25">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25">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25">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25">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25">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25">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25">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25">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25">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25">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25">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25">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25">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25">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25">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25">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25">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25">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25">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25">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25">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25">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25">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25">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25">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25">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25">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25">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25">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25">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25">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25">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25">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25">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25">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25">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25">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25">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25">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25">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25">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25">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25">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25">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25">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25">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25">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25">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25">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25">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25">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25">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25">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25">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25">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25">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25">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25">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25">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25">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25">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25">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25">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25">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25">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25">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25">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25">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25">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25">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25">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25">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25">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25">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25">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25">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25">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25">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25">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25">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25">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25">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25">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25">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25">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25">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25">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25">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25">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25">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25">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25">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25">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25">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25">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25">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25">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25">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25">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25">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25">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25">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25">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25">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25">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25">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25">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25">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25">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25">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25">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25">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25">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25">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25">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25">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25">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25">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25">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25">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25">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25">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25">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25">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25">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25">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25">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25">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25">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25">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25">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25">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25">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25">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25">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25">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25">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25">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25">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25">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25">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25">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25">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25">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25">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25">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25">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25">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25">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25">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25">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25">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25">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25">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25">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25">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25">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25">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25">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25">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25">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25">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25">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25">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25">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25">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25">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25">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25">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25">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25">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25">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25">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25">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25">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25">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25">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25">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25">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25">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25">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25">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25">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25">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25">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25">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25">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25">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25">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25">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25">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25">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25">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25">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25">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25">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25">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25">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25">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25">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25">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25">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25">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25">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25">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25">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25">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25">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25">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25">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25">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25">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25">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25">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25">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25">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25">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25">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25">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25">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25">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25">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25">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25">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25">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25">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25">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25">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25">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25">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25">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25">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25">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25">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25">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25">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25">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25">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25">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25">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25">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25">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25">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25">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25">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25">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25">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25">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25">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25">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25">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25">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25">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25">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25">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25">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25">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25">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25">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25">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25">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25">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25">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25">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25">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25">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25">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25">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25">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25">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25">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25">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25">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25">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25">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25">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25">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25">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25">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25">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25">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25">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25">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25">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25">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25">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25">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25">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25">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25">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25">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25">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25">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25">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25">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25">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25">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25">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25">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25">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25">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25">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25">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25">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25">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25">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25">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25">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25">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25">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25">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25">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25">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25">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25">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25">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25">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25">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25">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25">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25">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25">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25">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25">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25">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25">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25">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25">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25">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25">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25">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25">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25">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25">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25">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25">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25">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25">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25">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25">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25">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25">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25">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25">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25">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25">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25">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25">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25">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25">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25">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25">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25">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25">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25">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25">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25">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25">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25">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25">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25">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25">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25">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25">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25">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25">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25">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25">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25">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25">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25">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25">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25">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25">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25">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25">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25">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25">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25">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25">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25">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25">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25">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25">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25">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25">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25">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25">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25">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25">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25">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25">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25">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25">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25">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25">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25">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25">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25">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25">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25">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25">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25">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25">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25">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25">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25">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25">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25">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25">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25">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25">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25">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25">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25">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25">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25">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25">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25">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25">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25">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25">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25">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25">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25">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25">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25">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25">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25">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25">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25">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25">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25">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25">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25">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25">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25">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25">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25">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25">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25">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25">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25">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25">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25">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25">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25">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25">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25">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25">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25">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25">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25">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25">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25">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25">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25">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25">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25">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25">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25">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25">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25">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25">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25">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25">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25">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25">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25">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25">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25">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25">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25">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25">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25">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25">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25">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25">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25">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25">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25">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25">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25">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25">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25">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25">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25">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25">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25">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25">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25">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25">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25">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25">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25">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25">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25">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25">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25">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25">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25">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25">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25">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25">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25">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25">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25">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25">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25">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25">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25">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25">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25">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25">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25">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25">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25">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25">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25">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25">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25">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25">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25">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25">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25">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25">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25">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25">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25">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25">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25">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25">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25">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25">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25">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25">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25">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25">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25">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25">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25">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25">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25">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25">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25">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25">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25">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25">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25">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25">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25">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25">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25">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25">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25">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25">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25">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25">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25">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25">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25">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25">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25">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25">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25">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25">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25">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25">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25">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25">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25">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25">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25">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25">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25">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25">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25">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25">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25">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25">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25">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25">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25">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25">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25">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25">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25">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25">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25">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25">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25">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25">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25">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25">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25">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25">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25">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25">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25">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25">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25">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25">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25">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25">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25">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25">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25">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25">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25">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25">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25">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25">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25">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25">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25">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25">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25">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25">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25">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25">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25">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25">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25">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25">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25">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25">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25">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25">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25">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25">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25">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25">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25">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25">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25">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25">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25">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25">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25">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25">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25">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25">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25">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25">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25">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25">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25">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25">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25">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25">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25">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25">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25">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25">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25">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25">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25">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25">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25">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25">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25">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25">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25">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25">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25">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25">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25">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25">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25">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25">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25">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25">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25">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25">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25">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25">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25">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25">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25">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25">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25">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25">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25">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25">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25">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25">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25">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25">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25">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25">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25">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25">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25">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25">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25">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25">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25">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25">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25">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25">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25">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25">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25">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25">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25">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25">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25">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25">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25">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25">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25">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25">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25">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25">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25">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25">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25">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25">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25">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25">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25">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25">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25">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25">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25">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25">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25">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25">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25">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25">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25">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25">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25">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25">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25">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25">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25">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25">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25">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25">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25">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25">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25">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25">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25">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25">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25">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25">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25">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25">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25">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25">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25">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25">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25">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25">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25">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25">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25">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25">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25">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25">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25">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25">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25">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25">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25">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25">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25">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25">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25">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25">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25">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25">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25">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25">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25">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25">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25">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25">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25">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25">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25">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25">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25">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25">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25">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25">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25">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25">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25">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25">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25">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25">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25">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25">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25">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25">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25">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25">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25">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25">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25">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25">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25">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25">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25">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25">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25">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25">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25">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25">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25">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25">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25">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25">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25">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25">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25">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25">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25">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25">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25">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25">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25">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25">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25">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25">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25">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25">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25">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25">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25">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25">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25">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25">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25">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25">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25">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25">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25">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25">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25">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25">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25">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25">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25">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25">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25">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25">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25">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25">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25">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25">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25">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25">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25">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25">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25">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25">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25">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25">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25">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25">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25">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25">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25">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25">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25">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25">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25">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25">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25">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25">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25">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25">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25">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25">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25">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25">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25">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25">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25">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25">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25">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25">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25">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25">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25">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25">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25">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zoomScaleNormal="100" workbookViewId="0">
      <selection activeCell="K1" sqref="K1"/>
    </sheetView>
  </sheetViews>
  <sheetFormatPr defaultRowHeight="15" x14ac:dyDescent="0.25"/>
  <cols>
    <col min="1" max="16384" width="9.140625" style="7"/>
  </cols>
  <sheetData>
    <row r="1" spans="1:1" s="7" customFormat="1" ht="48.75" customHeight="1" x14ac:dyDescent="0.45">
      <c r="A1" s="8" t="s">
        <v>1133</v>
      </c>
    </row>
    <row r="2" spans="1:1" s="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5BFE-4D34-461D-B4D8-7BB8311626C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672046-38B5-46F4-AA22-19BB466FE4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Sheet5</vt:lpstr>
      <vt:lpstr>Sheet6</vt:lpstr>
      <vt:lpstr>Sheet7</vt:lpstr>
      <vt:lpstr>Sheet8</vt:lpstr>
      <vt:lpstr>D6</vt:lpstr>
      <vt:lpstr>Sheet1</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Meta Verse</dc:creator>
  <cp:lastModifiedBy>Meta Verse</cp:lastModifiedBy>
  <dcterms:created xsi:type="dcterms:W3CDTF">2015-06-05T18:17:20Z</dcterms:created>
  <dcterms:modified xsi:type="dcterms:W3CDTF">2025-02-15T15:17:38Z</dcterms:modified>
</cp:coreProperties>
</file>